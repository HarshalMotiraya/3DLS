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Original_Literature" sheetId="1" state="visible" r:id="rId3"/>
    <sheet name="02_Original_ML_Filter" sheetId="2" state="visible" r:id="rId4"/>
    <sheet name="03_Preprocessed_ML_Filter" sheetId="3" state="visible" r:id="rId5"/>
    <sheet name="04_Provisional_ML_Data" sheetId="4" state="visible" r:id="rId6"/>
    <sheet name="05_Needs_Verification" sheetId="5" state="visible" r:id="rId7"/>
    <sheet name="06_Outcome_Codebook" sheetId="6" state="visible" r:id="rId8"/>
    <sheet name="07_Data_Dictionary" sheetId="7" state="visible" r:id="rId9"/>
    <sheet name="08_QC_Summary" sheetId="8" state="visible" r:id="rId10"/>
    <sheet name="09_Original_Notes" sheetId="9" state="visible" r:id="rId11"/>
  </sheets>
  <definedNames>
    <definedName function="false" hidden="true" localSheetId="0" name="_xlnm._FilterDatabase" vbProcedure="false">'01_Original_Literature'!$A$1:$M$146</definedName>
    <definedName function="false" hidden="true" localSheetId="1" name="_xlnm._FilterDatabase" vbProcedure="false">'02_Original_ML_Filter'!$A$1:$G$25</definedName>
    <definedName function="false" hidden="true" localSheetId="2" name="_xlnm._FilterDatabase" vbProcedure="false">'03_Preprocessed_ML_Filter'!$A$1:$O$25</definedName>
    <definedName function="false" hidden="true" localSheetId="3" name="_xlnm._FilterDatabase" vbProcedure="false">'04_Provisional_ML_Data'!$A$1:$H$21</definedName>
    <definedName function="false" hidden="true" localSheetId="4" name="_xlnm._FilterDatabase" vbProcedure="false">'05_Needs_Verification'!$A$1:$H$16</definedName>
    <definedName function="false" hidden="true" localSheetId="5" name="_xlnm._FilterDatabase" vbProcedure="false">'06_Outcome_Codebook'!$A$1:$C$6</definedName>
    <definedName function="false" hidden="true" localSheetId="6" name="_xlnm._FilterDatabase" vbProcedure="false">'07_Data_Dictionary'!$A$1:$B$11</definedName>
    <definedName function="false" hidden="true" localSheetId="7" name="_xlnm._FilterDatabase" vbProcedure="false">'08_QC_Summary'!$A$1:$B$6</definedName>
    <definedName function="false" hidden="true" localSheetId="8" name="_xlnm._FilterDatabase" vbProcedure="false">'09_Original_Notes'!$A$1:$A$7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<sst xmlns="http://schemas.openxmlformats.org/spreadsheetml/2006/main" count="1720" uniqueCount="629">
  <si>
    <t xml:space="preserve">Paper_ID</t>
  </si>
  <si>
    <t xml:space="preserve">First_author</t>
  </si>
  <si>
    <t xml:space="preserve">Paper_title</t>
  </si>
  <si>
    <t xml:space="preserve">Year</t>
  </si>
  <si>
    <t xml:space="preserve">Authors</t>
  </si>
  <si>
    <t xml:space="preserve">3D_model</t>
  </si>
  <si>
    <t xml:space="preserve">Material_or_system</t>
  </si>
  <si>
    <t xml:space="preserve">Cell_or_biological_model</t>
  </si>
  <si>
    <t xml:space="preserve">Stiffness_kPa</t>
  </si>
  <si>
    <t xml:space="preserve">Condition_reported</t>
  </si>
  <si>
    <t xml:space="preserve">Outcome_bank</t>
  </si>
  <si>
    <t xml:space="preserve">Outcome_code</t>
  </si>
  <si>
    <t xml:space="preserve">ML_input</t>
  </si>
  <si>
    <t xml:space="preserve">Sarkar et al.</t>
  </si>
  <si>
    <t xml:space="preserve">Gelatin interpenetration in poly N-isopropylacrylamide network reduces the compressive modulus of the scaffold: A property employed to mimic hepatic matrix stiffness</t>
  </si>
  <si>
    <t xml:space="preserve">Joyita Sarkar; Swapnil C. Kamble; Rajendra Patil; Ashok Kumar; Suresh W. Gosavi</t>
  </si>
  <si>
    <t xml:space="preserve">Yes</t>
  </si>
  <si>
    <t xml:space="preserve">pNIPAM–gelatin cryogel</t>
  </si>
  <si>
    <t xml:space="preserve">HepG2; Huh7</t>
  </si>
  <si>
    <t xml:space="preserve">1.5–2.5</t>
  </si>
  <si>
    <t xml:space="preserve">Normal liver-like</t>
  </si>
  <si>
    <t xml:space="preserve">Healthy</t>
  </si>
  <si>
    <t xml:space="preserve">Same paper</t>
  </si>
  <si>
    <t xml:space="preserve">4–9</t>
  </si>
  <si>
    <t xml:space="preserve">Fibrotic liver-like</t>
  </si>
  <si>
    <t xml:space="preserve">MASLD/MASH + fibrosis</t>
  </si>
  <si>
    <t xml:space="preserve">10–20</t>
  </si>
  <si>
    <t xml:space="preserve">Cirrhotic liver-like</t>
  </si>
  <si>
    <t xml:space="preserve">Cirrhosis</t>
  </si>
  <si>
    <t xml:space="preserve">Ruoß et al.</t>
  </si>
  <si>
    <t xml:space="preserve">Development of Scaffolds with Adjusted Stiffness for Mimicking Disease-Related Alterations of Liver Rigidity</t>
  </si>
  <si>
    <t xml:space="preserve">Marc Ruoß; Silas Rebholz; Marina Weimer; Carl Grom-Baumgarten; Kiriaki Athanasopulu; Ralf Kemkemer; Hanno Käß; Sabrina Ehnert; Andreas K. Nussler</t>
  </si>
  <si>
    <t xml:space="preserve">pHEMA/BAA scaffold</t>
  </si>
  <si>
    <t xml:space="preserve">HepG2</t>
  </si>
  <si>
    <t xml:space="preserve">2.9 ± 1.3</t>
  </si>
  <si>
    <t xml:space="preserve">Healthy liver-like</t>
  </si>
  <si>
    <t xml:space="preserve">Sorrentino et al.</t>
  </si>
  <si>
    <t xml:space="preserve">Mechano-modulatory synthetic niches for liver organoid derivation</t>
  </si>
  <si>
    <t xml:space="preserve">PEG-RGD hydrogel</t>
  </si>
  <si>
    <t xml:space="preserve">Liver organoids</t>
  </si>
  <si>
    <t xml:space="preserve">0.3</t>
  </si>
  <si>
    <t xml:space="preserve">Soft/subphysiological</t>
  </si>
  <si>
    <t xml:space="preserve">Healthy-like</t>
  </si>
  <si>
    <t xml:space="preserve">1.3–1.7</t>
  </si>
  <si>
    <t xml:space="preserve">Physiological liver stiffness</t>
  </si>
  <si>
    <t xml:space="preserve">PEG hydrogel</t>
  </si>
  <si>
    <t xml:space="preserve">4</t>
  </si>
  <si>
    <t xml:space="preserve">Fibrosis-mimicking</t>
  </si>
  <si>
    <t xml:space="preserve">Lee et al.</t>
  </si>
  <si>
    <t xml:space="preserve">Modulation of Huh7.5 Spheroid Formation and Functionality Using Modified PEG-Based Hydrogels of Different Stiffness</t>
  </si>
  <si>
    <t xml:space="preserve">Bae Hoon Lee; Myung Hee Kim; Jae Ho Lee; Dror Seliktar; Nam-Joon Cho; Lay Poh Tan</t>
  </si>
  <si>
    <t xml:space="preserve">PEGDA/fibrinogen</t>
  </si>
  <si>
    <t xml:space="preserve">Huh7.5</t>
  </si>
  <si>
    <t xml:space="preserve">0.13 ± 0.01</t>
  </si>
  <si>
    <t xml:space="preserve">Soft liver-like</t>
  </si>
  <si>
    <t xml:space="preserve">1.87 ± 0.07</t>
  </si>
  <si>
    <t xml:space="preserve">Physiological-like</t>
  </si>
  <si>
    <t xml:space="preserve">5.72 ± 0.49</t>
  </si>
  <si>
    <t xml:space="preserve">Stiffer/disease-model environment</t>
  </si>
  <si>
    <t xml:space="preserve">Fibrosis-like</t>
  </si>
  <si>
    <t xml:space="preserve">Caliari et al.</t>
  </si>
  <si>
    <t xml:space="preserve">Gradually softening hydrogels for modeling hepatic stellate cell behavior during fibrosis regression</t>
  </si>
  <si>
    <t xml:space="preserve">Caliari S.R.; Perepelyuk M.; Soulas E.M.; Lee G.Y.; Wells R.G.; Burdick J.A.</t>
  </si>
  <si>
    <t xml:space="preserve">MeHA hydrogel</t>
  </si>
  <si>
    <t xml:space="preserve">Hepatic stellate cells</t>
  </si>
  <si>
    <t xml:space="preserve">~20 → ~3</t>
  </si>
  <si>
    <t xml:space="preserve">Fibrosis → regression</t>
  </si>
  <si>
    <t xml:space="preserve">Fibrosis regression</t>
  </si>
  <si>
    <t xml:space="preserve">Elasticity-based development of functionally enhanced multicellular 3D liver encapsulated in hybrid hydrogel</t>
  </si>
  <si>
    <t xml:space="preserve">Lee H.J. et al.</t>
  </si>
  <si>
    <t xml:space="preserve">Hybrid hydrogel</t>
  </si>
  <si>
    <t xml:space="preserve">HepaRG</t>
  </si>
  <si>
    <t xml:space="preserve">2.3–5.9</t>
  </si>
  <si>
    <t xml:space="preserve">Functional liver model</t>
  </si>
  <si>
    <t xml:space="preserve">Ye et al.</t>
  </si>
  <si>
    <t xml:space="preserve">A Chemically Defined Hydrogel for Human Liver Organoid Culture</t>
  </si>
  <si>
    <t xml:space="preserve">Ye S. et al.</t>
  </si>
  <si>
    <t xml:space="preserve">PIC hydrogel</t>
  </si>
  <si>
    <t xml:space="preserve">0.018; 0.038; 0.083</t>
  </si>
  <si>
    <t xml:space="preserve">Liver organoid culture</t>
  </si>
  <si>
    <t xml:space="preserve">Ravichandran et al.</t>
  </si>
  <si>
    <t xml:space="preserve">Photocrosslinkable liver extracellular matrix hydrogels for the generation of 3D liver microenvironment models</t>
  </si>
  <si>
    <t xml:space="preserve">Ravichandran A.; Murekatete B.; Moedder D.; Meinert C.; Bray L.J.</t>
  </si>
  <si>
    <t xml:space="preserve">Methacrylated liver dECM</t>
  </si>
  <si>
    <t xml:space="preserve">Hepatic cells</t>
  </si>
  <si>
    <t xml:space="preserve">5.1 ± 0.9–9.3 ± 1.5</t>
  </si>
  <si>
    <t xml:space="preserve">Liver microenvironment model</t>
  </si>
  <si>
    <t xml:space="preserve">Calitz et al.</t>
  </si>
  <si>
    <t xml:space="preserve">Influence of extracellular matrix composition on tumour cell behaviour in a biomimetic in vitro model for hepatocellular carcinoma</t>
  </si>
  <si>
    <t xml:space="preserve">Calitz C. et al.</t>
  </si>
  <si>
    <t xml:space="preserve">Fibrinogen/collagen hydrogel</t>
  </si>
  <si>
    <t xml:space="preserve">HCC cells</t>
  </si>
  <si>
    <t xml:space="preserve">3</t>
  </si>
  <si>
    <t xml:space="preserve">Fibrotic environment</t>
  </si>
  <si>
    <t xml:space="preserve">Fibrosis</t>
  </si>
  <si>
    <t xml:space="preserve">6</t>
  </si>
  <si>
    <t xml:space="preserve">Cirrhotic environment</t>
  </si>
  <si>
    <t xml:space="preserve">Liu et al.</t>
  </si>
  <si>
    <t xml:space="preserve">Engineered Hydrogels for Organoid Models of Human Nonalcoholic Fatty Liver Disease</t>
  </si>
  <si>
    <t xml:space="preserve">Yueming Liu et al.</t>
  </si>
  <si>
    <t xml:space="preserve">Engineered hydrogel</t>
  </si>
  <si>
    <t xml:space="preserve">Human iPSC-derived hepatic organoids</t>
  </si>
  <si>
    <t xml:space="preserve">~0.8</t>
  </si>
  <si>
    <t xml:space="preserve">~3</t>
  </si>
  <si>
    <t xml:space="preserve">Early NAFLD/MASLD-like</t>
  </si>
  <si>
    <t xml:space="preserve">MASLD</t>
  </si>
  <si>
    <t xml:space="preserve">~6</t>
  </si>
  <si>
    <t xml:space="preserve">Advanced NASH/MASH-like</t>
  </si>
  <si>
    <t xml:space="preserve">MASH</t>
  </si>
  <si>
    <t xml:space="preserve">Kim &amp; Tae et al.</t>
  </si>
  <si>
    <t xml:space="preserve">Heparin-based hydrogel as a matrix for encapsulation and cultivation of primary hepatocytes</t>
  </si>
  <si>
    <t xml:space="preserve">Kim Y.; Tae G. et al.</t>
  </si>
  <si>
    <t xml:space="preserve">Heparin/PEG hydrogel</t>
  </si>
  <si>
    <t xml:space="preserve">Primary hepatocytes</t>
  </si>
  <si>
    <t xml:space="preserve">~2.3</t>
  </si>
  <si>
    <t xml:space="preserve">Healthy-liver-like</t>
  </si>
  <si>
    <t xml:space="preserve">You et al.</t>
  </si>
  <si>
    <t xml:space="preserve">Characterizing the Effects of Heparin Gel Stiffness on Function of Primary Hepatocytes</t>
  </si>
  <si>
    <t xml:space="preserve">You J. et al.</t>
  </si>
  <si>
    <t xml:space="preserve">No / 2D surface</t>
  </si>
  <si>
    <t xml:space="preserve">Heparin/PEG</t>
  </si>
  <si>
    <t xml:space="preserve">10–110</t>
  </si>
  <si>
    <t xml:space="preserve">Hepatocyte function</t>
  </si>
  <si>
    <t xml:space="preserve">Not directly classifiable</t>
  </si>
  <si>
    <t xml:space="preserve">Deegan et al.</t>
  </si>
  <si>
    <t xml:space="preserve">Stiffness of hyaluronic acid gels containing liver extracellular matrix supports human hepatocyte function and alters cell morphology</t>
  </si>
  <si>
    <t xml:space="preserve">Deegan D.B.; Zimmerman C.; Skardal A.; Atala A.; Shupe T.D.</t>
  </si>
  <si>
    <t xml:space="preserve">HA + liver ECM</t>
  </si>
  <si>
    <t xml:space="preserve">Human hepatocytes</t>
  </si>
  <si>
    <t xml:space="preserve">0.6; 1.2; 4.6</t>
  </si>
  <si>
    <t xml:space="preserve">Physiological hepatocyte model</t>
  </si>
  <si>
    <t xml:space="preserve">Skardal et al.</t>
  </si>
  <si>
    <t xml:space="preserve">Tissue specific synthetic ECM hydrogels for 3-D in vitro maintenance of hepatocyte function</t>
  </si>
  <si>
    <t xml:space="preserve">Skardal A.; Smith L.; Bharadwaj S.; Atala A.; Soker V.; Zhang Y.</t>
  </si>
  <si>
    <t xml:space="preserve">HA/HP + liver ECM</t>
  </si>
  <si>
    <t xml:space="preserve">Primary human hepatocytes</t>
  </si>
  <si>
    <t xml:space="preserve">NR</t>
  </si>
  <si>
    <t xml:space="preserve">Liver-specific hydrogel</t>
  </si>
  <si>
    <t xml:space="preserve">Cozzolino et al.</t>
  </si>
  <si>
    <t xml:space="preserve">Modulating the Substrate Stiffness to Manipulate Differentiation of Resident Liver Stem Cells and to Improve the Differentiation State of Hepatocytes</t>
  </si>
  <si>
    <t xml:space="preserve">Cozzolino A.M. et al.</t>
  </si>
  <si>
    <t xml:space="preserve">No / 2D</t>
  </si>
  <si>
    <t xml:space="preserve">Collagen-coated polyacrylamide</t>
  </si>
  <si>
    <t xml:space="preserve">Liver stem cells/hepatocytes</t>
  </si>
  <si>
    <t xml:space="preserve">0.4</t>
  </si>
  <si>
    <t xml:space="preserve">Polyacrylamide</t>
  </si>
  <si>
    <t xml:space="preserve">80</t>
  </si>
  <si>
    <t xml:space="preserve">Fibrocirrhotic-like</t>
  </si>
  <si>
    <t xml:space="preserve">Cirrhosis-like</t>
  </si>
  <si>
    <t xml:space="preserve">Schrader et al.</t>
  </si>
  <si>
    <t xml:space="preserve">Matrix stiffness modulates proliferation, chemotherapeutic response, and dormancy in hepatocellular carcinoma cells</t>
  </si>
  <si>
    <t xml:space="preserve">Schrader J. et al.</t>
  </si>
  <si>
    <t xml:space="preserve">Polyacrylamide hydrogel</t>
  </si>
  <si>
    <t xml:space="preserve">1</t>
  </si>
  <si>
    <t xml:space="preserve">Soft/physiological</t>
  </si>
  <si>
    <t xml:space="preserve">12</t>
  </si>
  <si>
    <t xml:space="preserve">Stiff/pathological</t>
  </si>
  <si>
    <t xml:space="preserve">Fibrotic–cirrhotic-like</t>
  </si>
  <si>
    <t xml:space="preserve">Lu et al.</t>
  </si>
  <si>
    <t xml:space="preserve">Hepatic Spheroid Formation on Carbohydrate-Functionalized Supramolecular Hydrogels</t>
  </si>
  <si>
    <t xml:space="preserve">Lu J. et al.</t>
  </si>
  <si>
    <t xml:space="preserve">Supramolecular hydrogel</t>
  </si>
  <si>
    <t xml:space="preserve">HepG2 spheroids</t>
  </si>
  <si>
    <t xml:space="preserve">Multiple stiffness conditions</t>
  </si>
  <si>
    <t xml:space="preserve">Gilbert et al.</t>
  </si>
  <si>
    <t xml:space="preserve">Scale-dependent mechanical properties of native and decellularized liver tissue</t>
  </si>
  <si>
    <t xml:space="preserve">Gilbert T.W.; Sellaro T.L.; Badylak S.F. et al.</t>
  </si>
  <si>
    <t xml:space="preserve">Native/decellularized liver ECM</t>
  </si>
  <si>
    <t xml:space="preserve">Liver tissue/dECM</t>
  </si>
  <si>
    <t xml:space="preserve">Native ~10.5; dECM ~1.18</t>
  </si>
  <si>
    <t xml:space="preserve">Native vs decellularized liver</t>
  </si>
  <si>
    <t xml:space="preserve">Reference</t>
  </si>
  <si>
    <t xml:space="preserve">Ma et al.</t>
  </si>
  <si>
    <t xml:space="preserve">Liver Stiffness Rises Early in MASLD and Drives Inflammation, Lipid Dysmetabolism, and Fibrosis via Piezo1–YAP Mechanotransduction</t>
  </si>
  <si>
    <t xml:space="preserve">Ma J. et al.</t>
  </si>
  <si>
    <t xml:space="preserve">Yes / hydrogel model</t>
  </si>
  <si>
    <t xml:space="preserve">Collagen-I coated polyacrylamide + FFA</t>
  </si>
  <si>
    <t xml:space="preserve">HepG2; THLE-2</t>
  </si>
  <si>
    <t xml:space="preserve">~0.5</t>
  </si>
  <si>
    <t xml:space="preserve">Normal/soft</t>
  </si>
  <si>
    <t xml:space="preserve">~20</t>
  </si>
  <si>
    <t xml:space="preserve">Stiff/fibrotic</t>
  </si>
  <si>
    <t xml:space="preserve">Bybee et al.</t>
  </si>
  <si>
    <t xml:space="preserve">Increased liver stiffness promotes hepatitis B progression by impairing innate immunity in CCl4-induced fibrotic HBV+ transgenic mice</t>
  </si>
  <si>
    <t xml:space="preserve">Bybee G. et al.</t>
  </si>
  <si>
    <t xml:space="preserve">Yes / hydrogel/cell model</t>
  </si>
  <si>
    <t xml:space="preserve">Stiff hydrogel</t>
  </si>
  <si>
    <t xml:space="preserve">HBV+ liver model</t>
  </si>
  <si>
    <t xml:space="preserve">25</t>
  </si>
  <si>
    <t xml:space="preserve">Fibrotic/stiff condition</t>
  </si>
  <si>
    <t xml:space="preserve">Lachowski et al.</t>
  </si>
  <si>
    <t xml:space="preserve">Matrix stiffness modulates the activity of MMP-9 and TIMP-1 in hepatic stellate cells to perpetuate fibrosis</t>
  </si>
  <si>
    <t xml:space="preserve">Dariusz Lachowski; Ernesto Cortes; Alistair Rice; David Pinato; Krista Rombouts; Armando E. Del Río Hernández</t>
  </si>
  <si>
    <t xml:space="preserve">No (2D substrate)</t>
  </si>
  <si>
    <t xml:space="preserve">Fibronectin-coated polyacrylamide</t>
  </si>
  <si>
    <t xml:space="preserve">4; 12; 25</t>
  </si>
  <si>
    <t xml:space="preserve">Healthy → fibrosis progression</t>
  </si>
  <si>
    <t xml:space="preserve">3 Fibrosis-supporting</t>
  </si>
  <si>
    <t xml:space="preserve">Substrate Stiffness-Driven Membrane Tension Modulates Vesicular Trafficking via Caveolin-1</t>
  </si>
  <si>
    <t xml:space="preserve">Dariusz Lachowski; Carlos Matellan; Sahana Gopal; Ernesto Cortes; Benjamin K. Robinson; Alberto Saiani; Aline F. Miller; Molly M. Stevens; Armando E. Del Río Hernández</t>
  </si>
  <si>
    <t xml:space="preserve">Soft → stiff liver-mimicking substrates</t>
  </si>
  <si>
    <t xml:space="preserve">Matrix stiffness modulates hepatic stellate cell activation into tumor-promoting myofibroblasts via E2F3-dependent signaling and regulates malignant progression</t>
  </si>
  <si>
    <t xml:space="preserve">Zhikui Liu; Huanye Mo; Runkun Liu; Yongshen Niu; Tianxiang Chen; Qiuran Xu; Kangsheng Tu; Nan Yang</t>
  </si>
  <si>
    <t xml:space="preserve">Primary human HSCs; LX-2</t>
  </si>
  <si>
    <t xml:space="preserve">1; 32</t>
  </si>
  <si>
    <t xml:space="preserve">Soft vs stiff; stiff activates HSCs</t>
  </si>
  <si>
    <t xml:space="preserve">3 Fibrosis</t>
  </si>
  <si>
    <t xml:space="preserve">Ganesan et al.</t>
  </si>
  <si>
    <t xml:space="preserve">Matrix stiffness regulate apoptotic cell death in HIV-HCV co-infected hepatocytes: Importance for liver fibrosis progression</t>
  </si>
  <si>
    <t xml:space="preserve">Murali Ganesan; Raghubendra Singh Dagur; Edward Makarov; Natalia A. Osna; et al.</t>
  </si>
  <si>
    <t xml:space="preserve">PDMS + PEM coating</t>
  </si>
  <si>
    <t xml:space="preserve">Huh7.5/CYP2E1; primary human hepatocytes</t>
  </si>
  <si>
    <t xml:space="preserve">2; 24</t>
  </si>
  <si>
    <t xml:space="preserve">Healthy-like vs fibrotic-like</t>
  </si>
  <si>
    <t xml:space="preserve">0 Healthy / 3 Fibrosis</t>
  </si>
  <si>
    <t xml:space="preserve">Grace Bybee; Youra Moeun; Weimin Wang; Kusum K. Kharbanda; Larisa Y. Poluektova; Srivatsan Kidambi; Natalia A. Osna; Murali Ganesan</t>
  </si>
  <si>
    <t xml:space="preserve">No (2D substrate for in-vitro arm)</t>
  </si>
  <si>
    <t xml:space="preserve">PDMS + PEM</t>
  </si>
  <si>
    <t xml:space="preserve">HBV-transfected HepG2.2.15</t>
  </si>
  <si>
    <t xml:space="preserve">2; 24–25</t>
  </si>
  <si>
    <t xml:space="preserve">Wang et al.</t>
  </si>
  <si>
    <t xml:space="preserve">Metastasis-on-a-chip mimicking the progression of kidney cancer in the liver for predicting treatment efficacy</t>
  </si>
  <si>
    <t xml:space="preserve">Yimin Wang; Di Wu; Guohua Wu; Jianguo Wu; Siming Lu; James Lo; Yong He; Chao Zhao; Xin Zhao; Hongbo Zhang; ShuQi Wang</t>
  </si>
  <si>
    <t xml:space="preserve">Decellularized liver matrix/GelMA</t>
  </si>
  <si>
    <t xml:space="preserve">HepLL + Caki-1</t>
  </si>
  <si>
    <t xml:space="preserve">14.37–16.41</t>
  </si>
  <si>
    <t xml:space="preserve">Liver-cancer microenvironment</t>
  </si>
  <si>
    <t xml:space="preserve">4 Cirrhotic/cancer-like</t>
  </si>
  <si>
    <t xml:space="preserve">Boulais et al.</t>
  </si>
  <si>
    <t xml:space="preserve">Cryogel-Integrated Biochip for Liver Tissue Engineering</t>
  </si>
  <si>
    <t xml:space="preserve">Lilandra Boulais; Rachid Jellali; Ulysse Pereira; Eric Leclerc; Sidi A. Bencherif; Cécile Legallais</t>
  </si>
  <si>
    <t xml:space="preserve">Alginate cryogel</t>
  </si>
  <si>
    <t xml:space="preserve">Hepatoma cells</t>
  </si>
  <si>
    <t xml:space="preserve">1.5–29</t>
  </si>
  <si>
    <t xml:space="preserve">Physiological-state range modeled</t>
  </si>
  <si>
    <t xml:space="preserve">0–3 supporting</t>
  </si>
  <si>
    <t xml:space="preserve">Bernal et al.</t>
  </si>
  <si>
    <t xml:space="preserve">Volumetric Bioprinting of Organoids and Optically Tuned Hydrogels to Build Liver-Like Metabolic Biofactories</t>
  </si>
  <si>
    <t xml:space="preserve">Paulina Nuñez Bernal; Manon Bouwmeester; Jorge Madrid-Wolff; Falandt M.; Florczak S.; Rodriguez N.G.; Li Y.; Größbacher G.; Samsom R.-A.; van Wolferen M.; van der Laan L.J.W.; Delrot P.; Loterie D.; Malda J.; Moser C.; Spee B.; Levato R.</t>
  </si>
  <si>
    <t xml:space="preserve">GelMA-based bioresin</t>
  </si>
  <si>
    <t xml:space="preserve">1.73 ± 0.09; 5.04 ± 0.10</t>
  </si>
  <si>
    <t xml:space="preserve">Soft vs stiffer liver-like gel</t>
  </si>
  <si>
    <t xml:space="preserve">0 Healthy-like</t>
  </si>
  <si>
    <t xml:space="preserve">Fan et al.</t>
  </si>
  <si>
    <t xml:space="preserve">Matrix viscoelasticity promotes liver cancer progression in the pre-cirrhotic liver</t>
  </si>
  <si>
    <t xml:space="preserve">Weiguo Fan; Kolade Adebowale; Lóránd Váncza; Yuan Li; Md Foysal Rabbi; Koshi Kunimoto; Dongning Chen; Gergely Mozes; David Kung-Chun Chiu; Yisi Li; Junyan Tao; Yi Wei; et al.</t>
  </si>
  <si>
    <t xml:space="preserve">Alginate/rBM interpenetrating network</t>
  </si>
  <si>
    <t xml:space="preserve">Huh7; Hep3B</t>
  </si>
  <si>
    <t xml:space="preserve">0.8; 2; 5</t>
  </si>
  <si>
    <t xml:space="preserve">3D HCC mechanobiology</t>
  </si>
  <si>
    <t xml:space="preserve">4 HCC/pre-cirrhotic support</t>
  </si>
  <si>
    <t xml:space="preserve">Rezapourdamanab et al.</t>
  </si>
  <si>
    <t xml:space="preserve">A Dynamic 3D Human Liver Sinusoid Model for Mechanistic Interrogation of Fontan-Associated Liver Disease</t>
  </si>
  <si>
    <t xml:space="preserve">Sarah Rezapourdamanab; Mehdi Salar Amoli; Tanmay Mukherjee; Maryam Bagheri; Boeun Hwang; Linqi Jin; Yamini Singh; Sophia Norton; Ashay Vishwas Bongirwar; Shweta Karnik; Lakshmi Prasad Dasi; Reza Avazmohammadi; Rene Romero; Holly D. Bauser-Heaton; Vahid Serpooshan</t>
  </si>
  <si>
    <t xml:space="preserve">Multilayer GelMA-based matrix</t>
  </si>
  <si>
    <t xml:space="preserve">Human hepatocytes + endothelial cells</t>
  </si>
  <si>
    <t xml:space="preserve">0–6 outer layer; 30–35 inner layer</t>
  </si>
  <si>
    <t xml:space="preserve">Physiological liver sinusoid model</t>
  </si>
  <si>
    <t xml:space="preserve">0 Healthy-like/supporting</t>
  </si>
  <si>
    <t xml:space="preserve">Bioprinted Perfusable Multi-Cellular Liver Model Using Matrix Metalloproteinase-Degradable Hydrogel</t>
  </si>
  <si>
    <t xml:space="preserve">Ting-Yu Lu; Cheng Lyu; Erin N. Shen; Emma L. Berman; Yazhi Sun; Rahul Roy; Wei Zhu; Chuheng Tang; Shaochen Chen</t>
  </si>
  <si>
    <t xml:space="preserve">PEG-norbornene MMP-degradable hydrogel</t>
  </si>
  <si>
    <t xml:space="preserve">iPSC-derived hepatocytes + endothelial cells</t>
  </si>
  <si>
    <t xml:space="preserve">2–6 (reported target range)</t>
  </si>
  <si>
    <t xml:space="preserve">Physiological healthy-liver range</t>
  </si>
  <si>
    <t xml:space="preserve">Two-dimensional vascularized liver organoid on extracellular matrix with defined stiffness for modeling fibrotic and normal tissues</t>
  </si>
  <si>
    <t xml:space="preserve">Lei Ma; Lin Yin; Hai Zhu; Jing Li; Dong Wang</t>
  </si>
  <si>
    <t xml:space="preserve">No (2D organoid on ECM)</t>
  </si>
  <si>
    <t xml:space="preserve">Collagen I/IV ECM substrates</t>
  </si>
  <si>
    <t xml:space="preserve">Vascularized liver organoids</t>
  </si>
  <si>
    <t xml:space="preserve">1; 6; 20</t>
  </si>
  <si>
    <t xml:space="preserve">Normal vs fibrotic-like ECM</t>
  </si>
  <si>
    <t xml:space="preserve">Giovanni Sorrentino; et al.</t>
  </si>
  <si>
    <t xml:space="preserve">PEG-RGD/ECM-functionalized hydrogel</t>
  </si>
  <si>
    <t xml:space="preserve">0.3; 1.3–1.7; 4</t>
  </si>
  <si>
    <t xml:space="preserve">Subphysiological; physiological; fibrosis-mimicking</t>
  </si>
  <si>
    <t xml:space="preserve">Shuang Ye; et al.</t>
  </si>
  <si>
    <t xml:space="preserve">Polyisocyanopeptide (PIC) hydrogel</t>
  </si>
  <si>
    <t xml:space="preserve">Human liver organoids</t>
  </si>
  <si>
    <t xml:space="preserve">Organoid culture</t>
  </si>
  <si>
    <t xml:space="preserve">Anand Ravichandran; Berhane Murekatete; D. Moedder; C. Meinert; L. J. Bray</t>
  </si>
  <si>
    <t xml:space="preserve">Immortalized human hepatocytes</t>
  </si>
  <si>
    <t xml:space="preserve">5.1; 9.3</t>
  </si>
  <si>
    <t xml:space="preserve">3D liver microenvironment</t>
  </si>
  <si>
    <t xml:space="preserve">C. Calitz; J. Rosenquist; O. Degerstedt; M. Khaled; M. Kopsida; M. Fryknäs; H. Lennernäs; A. Samanta; F. Heindryckx; et al.</t>
  </si>
  <si>
    <t xml:space="preserve">3.017; 5.909 (Day 1)</t>
  </si>
  <si>
    <t xml:space="preserve">Fibrotic and cirrhotic liver-like gels</t>
  </si>
  <si>
    <t xml:space="preserve">3 Fibrosis / 4 Cirrhosis</t>
  </si>
  <si>
    <t xml:space="preserve">Yueming Liu; et al.</t>
  </si>
  <si>
    <t xml:space="preserve">Dynamic engineered hydrogel</t>
  </si>
  <si>
    <t xml:space="preserve">~1–6; final ~6</t>
  </si>
  <si>
    <t xml:space="preserve">Healthy-to-diseased NAFLD/MASLD model</t>
  </si>
  <si>
    <t xml:space="preserve">0 Healthy / 1 MASLD / 2 MASH-supporting</t>
  </si>
  <si>
    <t xml:space="preserve">PEGDA/fibrinogen hydrogel</t>
  </si>
  <si>
    <t xml:space="preserve">0.13 ± 0.01; 1.87 ± 0.07; 5.72 ± 0.49</t>
  </si>
  <si>
    <t xml:space="preserve">3D spheroid model</t>
  </si>
  <si>
    <t xml:space="preserve">0 Healthy-like / 3 Fibrosis-supporting</t>
  </si>
  <si>
    <t xml:space="preserve">J. Ma; N. Xie; Z. Wang; X. Liang; Y. Han; Q. Zhao; M. Wang; H. Lu; W. Kou; W. Alazawi; J. Wang; L. Li; N. Liu; H. Shi; F. Xu; et al.</t>
  </si>
  <si>
    <t xml:space="preserve">3D imaging / hydrogel mechanobiology</t>
  </si>
  <si>
    <t xml:space="preserve">Collagen-I coated polyacrylamide</t>
  </si>
  <si>
    <t xml:space="preserve">~0.5; ~20</t>
  </si>
  <si>
    <t xml:space="preserve">Soft vs stiff + FFA MASLD model</t>
  </si>
  <si>
    <t xml:space="preserve">0 Healthy / 3 Fibrosis-supporting</t>
  </si>
  <si>
    <t xml:space="preserve">The Effect of Matrix Stiffness on Human Hepatocyte Migration and Function—An In Vitro Research</t>
  </si>
  <si>
    <t xml:space="preserve">Authors in PubMed record</t>
  </si>
  <si>
    <t xml:space="preserve">Yes (3D collagen gel plus PVA system)</t>
  </si>
  <si>
    <t xml:space="preserve">PVA / 3D collagen hydrogel</t>
  </si>
  <si>
    <t xml:space="preserve">4.80 ± 0.11; 21.27 ± 0.45; 45.21 ± 0.16</t>
  </si>
  <si>
    <t xml:space="preserve">Healthy-like; early fibrosis; end-stage fibrosis</t>
  </si>
  <si>
    <t xml:space="preserve">0 Healthy / 3 Fibrosis / 4 Cirrhosis-like</t>
  </si>
  <si>
    <t xml:space="preserve">Hydrogels with Differential and Patterned Mechanics to Study Stiffness-Mediated Myofibroblastic Differentiation of Hepatic Stellate Cells</t>
  </si>
  <si>
    <t xml:space="preserve">3D</t>
  </si>
  <si>
    <t xml:space="preserve">2.1 ± 0.7</t>
  </si>
  <si>
    <t xml:space="preserve">Same study</t>
  </si>
  <si>
    <t xml:space="preserve">23.8 ± 4.6</t>
  </si>
  <si>
    <t xml:space="preserve">Fibrotic-like</t>
  </si>
  <si>
    <t xml:space="preserve">Differential fibrotic phenotypes of hepatic stellate cells within 3D liver organoids</t>
  </si>
  <si>
    <t xml:space="preserve">Liver organoid study</t>
  </si>
  <si>
    <t xml:space="preserve">Collagen I</t>
  </si>
  <si>
    <t xml:space="preserve">3D HSC organoids</t>
  </si>
  <si>
    <t xml:space="preserve">Less severe fibrosis</t>
  </si>
  <si>
    <t xml:space="preserve">Activated HSC / advanced fibrosis</t>
  </si>
  <si>
    <t xml:space="preserve">Collagen I + TGF-β</t>
  </si>
  <si>
    <t xml:space="preserve">Strong fibrotic phenotype</t>
  </si>
  <si>
    <t xml:space="preserve">Cirrhosis-like*</t>
  </si>
  <si>
    <t xml:space="preserve">3D bioprinting of bicellular liver lobule-mimetic structures via microextrusion of cellulose nanocrystal-incorporated shear-thinning bioink</t>
  </si>
  <si>
    <t xml:space="preserve">Bioprinting study</t>
  </si>
  <si>
    <t xml:space="preserve">GelMA/CNC-alginate</t>
  </si>
  <si>
    <t xml:space="preserve">Liver cells</t>
  </si>
  <si>
    <t xml:space="preserve">~2.5</t>
  </si>
  <si>
    <t xml:space="preserve">Native liver-like</t>
  </si>
  <si>
    <t xml:space="preserve">CNC-alginate/GelMA</t>
  </si>
  <si>
    <t xml:space="preserve">~10</t>
  </si>
  <si>
    <t xml:space="preserve">Stiffer stromal environment</t>
  </si>
  <si>
    <t xml:space="preserve">Rapid 3D bioprinting of decellularized extracellular matrix with regionally varied mechanical properties and biomimetic microarchitecture</t>
  </si>
  <si>
    <t xml:space="preserve">3D liver dECM study</t>
  </si>
  <si>
    <t xml:space="preserve">Liver dECM</t>
  </si>
  <si>
    <t xml:space="preserve">Soft</t>
  </si>
  <si>
    <t xml:space="preserve">~5</t>
  </si>
  <si>
    <t xml:space="preserve">Healthy-liver range</t>
  </si>
  <si>
    <t xml:space="preserve">~15</t>
  </si>
  <si>
    <t xml:space="preserve">Cirrhotic-range mechanics</t>
  </si>
  <si>
    <t xml:space="preserve">Bioinspired liver scaffold design criteria</t>
  </si>
  <si>
    <t xml:space="preserve">Liver scaffold study</t>
  </si>
  <si>
    <t xml:space="preserve">Collagen/dECM</t>
  </si>
  <si>
    <t xml:space="preserve">Liver tissue/scaffold</t>
  </si>
  <si>
    <t xml:space="preserve">0.76 ± 0.01</t>
  </si>
  <si>
    <t xml:space="preserve">dECM equilibrium modulus</t>
  </si>
  <si>
    <t xml:space="preserve">Native liver tissue</t>
  </si>
  <si>
    <t xml:space="preserve">Native liver</t>
  </si>
  <si>
    <t xml:space="preserve">0.91 ± 0.02</t>
  </si>
  <si>
    <t xml:space="preserve">In-vivo liver-like</t>
  </si>
  <si>
    <t xml:space="preserve">PEG-RGD</t>
  </si>
  <si>
    <t xml:space="preserve">Physiological liver</t>
  </si>
  <si>
    <t xml:space="preserve">Human iPSC hepatic organoids</t>
  </si>
  <si>
    <t xml:space="preserve">~1</t>
  </si>
  <si>
    <t xml:space="preserve">Dynamic engineered hydrogel + FFA</t>
  </si>
  <si>
    <t xml:space="preserve">NAFLD/MASLD-like</t>
  </si>
  <si>
    <t xml:space="preserve">Advanced NAFLD/NASH-like</t>
  </si>
  <si>
    <t xml:space="preserve">Fibrinogen/collagen</t>
  </si>
  <si>
    <t xml:space="preserve">PVA/collagen</t>
  </si>
  <si>
    <t xml:space="preserve">Early fibrosis-like</t>
  </si>
  <si>
    <t xml:space="preserve">End-stage fibrosis</t>
  </si>
  <si>
    <t xml:space="preserve">Softer liver ECM</t>
  </si>
  <si>
    <t xml:space="preserve">Stiffer/pathological</t>
  </si>
  <si>
    <t xml:space="preserve">Soft/healthy-like</t>
  </si>
  <si>
    <t xml:space="preserve">Physiological</t>
  </si>
  <si>
    <t xml:space="preserve">Stiffer</t>
  </si>
  <si>
    <t xml:space="preserve">~1–3</t>
  </si>
  <si>
    <t xml:space="preserve">Liver-like</t>
  </si>
  <si>
    <t xml:space="preserve">HGF-loaded thiolated heparin/PEGDA hydrogel study</t>
  </si>
  <si>
    <t xml:space="preserve">Heparin/PEGDA study</t>
  </si>
  <si>
    <t xml:space="preserve">Heparin/PEGDA</t>
  </si>
  <si>
    <t xml:space="preserve">Healthy/Fibrosis-supporting</t>
  </si>
  <si>
    <t xml:space="preserve">Very soft</t>
  </si>
  <si>
    <t xml:space="preserve">Stiff/disease-model</t>
  </si>
  <si>
    <t xml:space="preserve">MeHA</t>
  </si>
  <si>
    <t xml:space="preserve">Native/dECM</t>
  </si>
  <si>
    <t xml:space="preserve">~10.5 / ~1.18</t>
  </si>
  <si>
    <t xml:space="preserve">Native vs decellularized reference</t>
  </si>
  <si>
    <t xml:space="preserve">3D/hydrogel</t>
  </si>
  <si>
    <t xml:space="preserve">Engineered Perfusable Hepatic Fibrosis Model via Embedded Sacrificial Bioprinting Recapitulates Stiffness-Driven Fibrogenesis</t>
  </si>
  <si>
    <t xml:space="preserve">3D bioprinting study</t>
  </si>
  <si>
    <t xml:space="preserve">Bioprinted hydrogel</t>
  </si>
  <si>
    <t xml:space="preserve">Tunable</t>
  </si>
  <si>
    <t xml:space="preserve">Fibrogenic 3D environment</t>
  </si>
  <si>
    <t xml:space="preserve">Matrix Stiffness in Three-Dimensional Systems Effects on the Behavior of C3A Cells</t>
  </si>
  <si>
    <t xml:space="preserve">Huang et al.</t>
  </si>
  <si>
    <t xml:space="preserve">Alginate hydrogel</t>
  </si>
  <si>
    <t xml:space="preserve">C3A hepatocytes</t>
  </si>
  <si>
    <t xml:space="preserve">1 vs 12</t>
  </si>
  <si>
    <t xml:space="preserve">Normal vs fibrotic stiffness</t>
  </si>
  <si>
    <t xml:space="preserve">Stiffening hydrogels for investigating the dynamics of hepatic stellate cell mechanotransduction during myofibroblast activation</t>
  </si>
  <si>
    <t xml:space="preserve">1.75 ± 0.02 vs 33.0 ± 3.2</t>
  </si>
  <si>
    <t xml:space="preserve">Healthy-like vs fibrotic</t>
  </si>
  <si>
    <t xml:space="preserve">Physiological vs fibrosis-mimicking</t>
  </si>
  <si>
    <t xml:space="preserve">Functional liver-like model</t>
  </si>
  <si>
    <t xml:space="preserve">Supporting/reference</t>
  </si>
  <si>
    <t xml:space="preserve">0.012–0.083</t>
  </si>
  <si>
    <t xml:space="preserve">Soft organoid matrix</t>
  </si>
  <si>
    <t xml:space="preserve">5.1–9.3; 9.8–39.9</t>
  </si>
  <si>
    <t xml:space="preserve">Healthy/pathological stiffness modeling</t>
  </si>
  <si>
    <t xml:space="preserve">LivMA hydrogel</t>
  </si>
  <si>
    <t xml:space="preserve">~162</t>
  </si>
  <si>
    <t xml:space="preserve">Very stiff/pathological range</t>
  </si>
  <si>
    <t xml:space="preserve">0.5; 5; 15</t>
  </si>
  <si>
    <t xml:space="preserve">Soft/healthy/cirrhotic-range</t>
  </si>
  <si>
    <t xml:space="preserve">Liver click dECM hydrogels for engineering hepatic microenvironments</t>
  </si>
  <si>
    <t xml:space="preserve">Milton et al.</t>
  </si>
  <si>
    <t xml:space="preserve">Thiolated liver dECM + PEG-maleimide</t>
  </si>
  <si>
    <t xml:space="preserve">1–7</t>
  </si>
  <si>
    <t xml:space="preserve">Healthy/fibrotic liver range</t>
  </si>
  <si>
    <t xml:space="preserve">Synthetic liver-mimicking scaffold</t>
  </si>
  <si>
    <t xml:space="preserve">~2.9</t>
  </si>
  <si>
    <t xml:space="preserve">pNIPAM–gelatin</t>
  </si>
  <si>
    <t xml:space="preserve">1.5–2.5; 4–9; 10–20</t>
  </si>
  <si>
    <t xml:space="preserve">Normal/fibrotic/cirrhotic</t>
  </si>
  <si>
    <t xml:space="preserve">Physiological liver environment</t>
  </si>
  <si>
    <t xml:space="preserve">Huh7.5 spheroids</t>
  </si>
  <si>
    <t xml:space="preserve">0.13; 1.87; 5.72</t>
  </si>
  <si>
    <t xml:space="preserve">Hepatic spheroid function</t>
  </si>
  <si>
    <t xml:space="preserve">Fibrosis/regression</t>
  </si>
  <si>
    <t xml:space="preserve">~3; ~6</t>
  </si>
  <si>
    <t xml:space="preserve">Fibrotic/cirrhotic-like microenvironment</t>
  </si>
  <si>
    <t xml:space="preserve">~1–6</t>
  </si>
  <si>
    <t xml:space="preserve">Healthy → NAFLD/NASH</t>
  </si>
  <si>
    <t xml:space="preserve">Click dECM hydrogel</t>
  </si>
  <si>
    <t xml:space="preserve">Healthy/fibrotic liver microenvironment</t>
  </si>
  <si>
    <t xml:space="preserve">Combinatorial Microgels for 3D ECM Screening and Heterogeneous Microenvironmental Culture of Primary Human Hepatic Stellate Cells</t>
  </si>
  <si>
    <t xml:space="preserve">Ryoo et al.</t>
  </si>
  <si>
    <t xml:space="preserve">PEG-norbornene microgels</t>
  </si>
  <si>
    <t xml:space="preserve">Primary human HSCs</t>
  </si>
  <si>
    <t xml:space="preserve">5.72 ± 0.68; 24.44 ± 3.58</t>
  </si>
  <si>
    <t xml:space="preserve">Early vs advanced fibrosis</t>
  </si>
  <si>
    <t xml:space="preserve">Liver dECM bioink</t>
  </si>
  <si>
    <t xml:space="preserve">Liver cells/tissue</t>
  </si>
  <si>
    <t xml:space="preserve">Mechanical-gradient liver scaffold</t>
  </si>
  <si>
    <t xml:space="preserve">2D</t>
  </si>
  <si>
    <t xml:space="preserve">Stiffness-controlled substrate</t>
  </si>
  <si>
    <t xml:space="preserve">Fibrosis mechanobiology</t>
  </si>
  <si>
    <t xml:space="preserve">Substrate stiffness-driven membrane tension modulates vesicular trafficking via caveolin-1</t>
  </si>
  <si>
    <t xml:space="preserve">Fibrosis mechanotransduction</t>
  </si>
  <si>
    <t xml:space="preserve">Matrix stiffness modulates hepatic stellate cell activation into tumor-promoting myofibroblasts via E2F3-dependent signaling</t>
  </si>
  <si>
    <t xml:space="preserve">Polyacrylamide substrate</t>
  </si>
  <si>
    <t xml:space="preserve">HSCs/LX-2</t>
  </si>
  <si>
    <t xml:space="preserve">1 vs 32</t>
  </si>
  <si>
    <t xml:space="preserve">Healthy vs fibrotic activation</t>
  </si>
  <si>
    <t xml:space="preserve">4.8; 21.3; 45.2</t>
  </si>
  <si>
    <t xml:space="preserve">Healthy → early → end-stage fibrosis</t>
  </si>
  <si>
    <t xml:space="preserve">Collagen ECM substrate</t>
  </si>
  <si>
    <t xml:space="preserve">~1; 6; 20</t>
  </si>
  <si>
    <t xml:space="preserve">Healthy/fibrosis</t>
  </si>
  <si>
    <t xml:space="preserve">Human induced pluripotent stem cells-derived liver organoids grown on a Biomimesys® hyaluronic acid-based hydroscaffold</t>
  </si>
  <si>
    <t xml:space="preserve">iPSC liver organoid study</t>
  </si>
  <si>
    <t xml:space="preserve">HA hydroscaffold</t>
  </si>
  <si>
    <t xml:space="preserve">Human iPSC-derived liver organoids</t>
  </si>
  <si>
    <t xml:space="preserve">0.15 ± 0.05</t>
  </si>
  <si>
    <t xml:space="preserve">Engineering extracellular matrix-based liver hydrogels as advanced bio-mimetic platforms</t>
  </si>
  <si>
    <t xml:space="preserve">Liver dECM hydrogel study</t>
  </si>
  <si>
    <t xml:space="preserve">Decellularized liver ECM</t>
  </si>
  <si>
    <t xml:space="preserve">~0.315–0.322; crosslinked ~1.93</t>
  </si>
  <si>
    <t xml:space="preserve">Healthy liver ECM mechanics</t>
  </si>
  <si>
    <t xml:space="preserve">Identification of processing parameters for the preparation of dECM-based resins for 3D (bio)printing</t>
  </si>
  <si>
    <t xml:space="preserve">dECM printing study</t>
  </si>
  <si>
    <t xml:space="preserve">dECM-GMA/dECM-MA</t>
  </si>
  <si>
    <t xml:space="preserve">Liver cells/scaffold</t>
  </si>
  <si>
    <t xml:space="preserve">~0.2–1.2; ~0.5–2</t>
  </si>
  <si>
    <t xml:space="preserve">3D liver bioprinting</t>
  </si>
  <si>
    <t xml:space="preserve">Biopolymers for Liver Tissue Engineering: A Systematic Review</t>
  </si>
  <si>
    <t xml:space="preserve">Systematic review</t>
  </si>
  <si>
    <t xml:space="preserve">Review</t>
  </si>
  <si>
    <t xml:space="preserve">Multiple</t>
  </si>
  <si>
    <t xml:space="preserve">Multiple liver models</t>
  </si>
  <si>
    <t xml:space="preserve">~0.15–19.8+</t>
  </si>
  <si>
    <t xml:space="preserve">Review/reference bank</t>
  </si>
  <si>
    <t xml:space="preserve">Hydrogels for Liver Tissue Engineering</t>
  </si>
  <si>
    <t xml:space="preserve">Liver tissue engineering review</t>
  </si>
  <si>
    <t xml:space="preserve">~0.15–30+</t>
  </si>
  <si>
    <t xml:space="preserve">Preparation and characterization of oxidized alginate covalently cross-linked galactosylated chitosan scaffold for liver tissue engineering</t>
  </si>
  <si>
    <t xml:space="preserve">Chen et al.</t>
  </si>
  <si>
    <t xml:space="preserve">Oxidized alginate–galactosylated chitosan</t>
  </si>
  <si>
    <t xml:space="preserve">L02 human hepatocytes</t>
  </si>
  <si>
    <t xml:space="preserve">4.2–6.3</t>
  </si>
  <si>
    <t xml:space="preserve">Hepatocyte-supporting scaffold</t>
  </si>
  <si>
    <t xml:space="preserve">Primary 3D</t>
  </si>
  <si>
    <t xml:space="preserve">Perepelyuk et al.</t>
  </si>
  <si>
    <t xml:space="preserve">3D scaffold reference</t>
  </si>
  <si>
    <t xml:space="preserve">Native/decellularized liver</t>
  </si>
  <si>
    <t xml:space="preserve">Native 10.5; decellularized 1.18</t>
  </si>
  <si>
    <t xml:space="preserve">Native vs decellularized liver mechanics</t>
  </si>
  <si>
    <t xml:space="preserve">Supporting 3D reference</t>
  </si>
  <si>
    <t xml:space="preserve">Combined Effect of Cryogel Matrix and Temperature-Reversible Soluble–Insoluble Polymer for the Development of in Vitro Human Liver Tissue</t>
  </si>
  <si>
    <t xml:space="preserve">Kumari et al.</t>
  </si>
  <si>
    <t xml:space="preserve">PEG–alginate–gelatin cryogel</t>
  </si>
  <si>
    <t xml:space="preserve">Human liver cells</t>
  </si>
  <si>
    <t xml:space="preserve">Soft 3D liver tissue model</t>
  </si>
  <si>
    <t xml:space="preserve">Three-dimensional liver-derived extracellular matrix hydrogel promotes liver organoids function</t>
  </si>
  <si>
    <t xml:space="preserve">Liver-derived ECM hydrogel (LEMgel)</t>
  </si>
  <si>
    <t xml:space="preserve">Hepatocarcinoma/liver organoids</t>
  </si>
  <si>
    <t xml:space="preserve">0.187–1.571</t>
  </si>
  <si>
    <t xml:space="preserve">Functional liver organoid culture</t>
  </si>
  <si>
    <t xml:space="preserve">Optimization of collagen type I-hyaluronan hybrid bioink for 3D bioprinted liver microenvironments</t>
  </si>
  <si>
    <t xml:space="preserve">Collagen-I/HA bioink study</t>
  </si>
  <si>
    <t xml:space="preserve">Methacrylated collagen I + thiolated HA</t>
  </si>
  <si>
    <t xml:space="preserve">Primary human hepatocytes + stellate cells</t>
  </si>
  <si>
    <t xml:space="preserve">Modulated; exact value requires primary full-text extraction</t>
  </si>
  <si>
    <t xml:space="preserve">3D bioprinted liver microenvironment</t>
  </si>
  <si>
    <t xml:space="preserve">Primary 3D; value to verify</t>
  </si>
  <si>
    <t xml:space="preserve">Bioprinting of liver in vitro models using decellularized liver ECM, HA and gelatin</t>
  </si>
  <si>
    <t xml:space="preserve">Bioprinted liver model</t>
  </si>
  <si>
    <t xml:space="preserve">dECM + HA + gelatin bioink</t>
  </si>
  <si>
    <t xml:space="preserve">Primary human hepatocytes, stellate and Kupffer cells</t>
  </si>
  <si>
    <t xml:space="preserve">0.1–20</t>
  </si>
  <si>
    <t xml:space="preserve">Bioprinted hepatic construct</t>
  </si>
  <si>
    <t xml:space="preserve">Development of 3D Hepatic Constructs Within Polysaccharide-Based Scaffolds with Tunable Properties</t>
  </si>
  <si>
    <t xml:space="preserve">Polysaccharide scaffold study</t>
  </si>
  <si>
    <t xml:space="preserve">Polysaccharide-based scaffolds</t>
  </si>
  <si>
    <t xml:space="preserve">~4</t>
  </si>
  <si>
    <t xml:space="preserve">Physiological-like liver construct</t>
  </si>
  <si>
    <t xml:space="preserve">Generation of Scalable Hepatic Micro-Tissues as a Platform for Toxicological Studies</t>
  </si>
  <si>
    <t xml:space="preserve">Hepatic microtissue study</t>
  </si>
  <si>
    <t xml:space="preserve">Composite liver-specific ECM/alginate hydrogel</t>
  </si>
  <si>
    <t xml:space="preserve">Hepatic microtissues</t>
  </si>
  <si>
    <t xml:space="preserve">~1.2</t>
  </si>
  <si>
    <t xml:space="preserve">Physiological hepatic microtissue</t>
  </si>
  <si>
    <t xml:space="preserve">3D liver organoid fibrosis study</t>
  </si>
  <si>
    <t xml:space="preserve">Collagen organoid matrix</t>
  </si>
  <si>
    <t xml:space="preserve">LX-2 and activated primary HSCs</t>
  </si>
  <si>
    <t xml:space="preserve">7.5; 24.5; 18.5; 40.8</t>
  </si>
  <si>
    <t xml:space="preserve">Normal-like vs fibrotic/TGF-β-induced fibrosis</t>
  </si>
  <si>
    <t xml:space="preserve">Peptide-based scaffolds for the culture and maintenance of primary human hepatocytes</t>
  </si>
  <si>
    <t xml:space="preserve">Peptide hydrogel study</t>
  </si>
  <si>
    <t xml:space="preserve">Self-assembling peptide hydrogel</t>
  </si>
  <si>
    <t xml:space="preserve">Hepatocyte maintenance</t>
  </si>
  <si>
    <t xml:space="preserve">Development of Biomimetic Hepatic Lobule-Like Constructs on Silk-Collagen Composite Scaffolds for Liver Tissue Engineering</t>
  </si>
  <si>
    <t xml:space="preserve">Silk-collagen scaffold study</t>
  </si>
  <si>
    <t xml:space="preserve">Silk fibroin + collagen I</t>
  </si>
  <si>
    <t xml:space="preserve">Hepatic lobule-like constructs</t>
  </si>
  <si>
    <t xml:space="preserve">15.3 ± 4.9; 17.7 ± 4.4; controls 24.2 ± 5.8 and 68.2 ± 5.5</t>
  </si>
  <si>
    <t xml:space="preserve">Biomimetic hepatic lobule scaffold</t>
  </si>
  <si>
    <t xml:space="preserve">GelMA bioresin</t>
  </si>
  <si>
    <t xml:space="preserve">Organoid metabolic biofactory</t>
  </si>
  <si>
    <t xml:space="preserve">Engineering Modular 3D Liver Culture Microenvironments In Vitro to Parse the Interplay between Biophysical and Biochemical Microenvironment Cues on Hepatic Phenotypes</t>
  </si>
  <si>
    <t xml:space="preserve">Modular LiverChip hydrogel study</t>
  </si>
  <si>
    <t xml:space="preserve">PEG-based synthetic ECM hydrogel</t>
  </si>
  <si>
    <t xml:space="preserve">Human hepatocytes/non-parenchymal cells</t>
  </si>
  <si>
    <t xml:space="preserve">Physiological liver-like; exact formulation value requires full-text extraction</t>
  </si>
  <si>
    <t xml:space="preserve">Perfused 3D liver model</t>
  </si>
  <si>
    <t xml:space="preserve">Human induced pluripotent stem cells-derived liver organoids grown on a Biomimesys hyaluronic acid-based hydroscaffold</t>
  </si>
  <si>
    <t xml:space="preserve">Roudaut et al.</t>
  </si>
  <si>
    <t xml:space="preserve">HA-RGDS + collagen I/IV hydroscaffold</t>
  </si>
  <si>
    <t xml:space="preserve">hiPSC-derived liver organoids</t>
  </si>
  <si>
    <t xml:space="preserve">Soft physiological-like matrix</t>
  </si>
  <si>
    <t xml:space="preserve">PEG-norbornene microgels ± collagen I</t>
  </si>
  <si>
    <t xml:space="preserve">Lower vs higher stiffness/fibrotic activation</t>
  </si>
  <si>
    <t xml:space="preserve">hiPSC-derived hepatic organoids</t>
  </si>
  <si>
    <t xml:space="preserve">Initial ~1.5; final ~6</t>
  </si>
  <si>
    <t xml:space="preserve">NAFLD/steatosis model</t>
  </si>
  <si>
    <t xml:space="preserve">PEGNB MMP-degradable hydrogel</t>
  </si>
  <si>
    <t xml:space="preserve">Multicellular liver model</t>
  </si>
  <si>
    <t xml:space="preserve">2–6</t>
  </si>
  <si>
    <t xml:space="preserve">Healthy liver-like perfusable model</t>
  </si>
  <si>
    <t xml:space="preserve">Dynamic liver sinusoid study</t>
  </si>
  <si>
    <t xml:space="preserve">Multi-material GelMA-based matrix</t>
  </si>
  <si>
    <t xml:space="preserve">Hepatic/endothelial sinusoid model</t>
  </si>
  <si>
    <t xml:space="preserve">Outer 0–6; inner ~30–35</t>
  </si>
  <si>
    <t xml:space="preserve">Soft hepatic layer with stiff structural layer</t>
  </si>
  <si>
    <t xml:space="preserve">Microarchitecture-Driven Regulation of Hepatocyte Functional Stability in 3D Bioprinted Genipin-Crosslinked PVA–Chitosan Scaffolds</t>
  </si>
  <si>
    <t xml:space="preserve">Genipin-crosslinked PVA–chitosan study</t>
  </si>
  <si>
    <t xml:space="preserve">PVA–chitosan</t>
  </si>
  <si>
    <t xml:space="preserve">Hepatocytes</t>
  </si>
  <si>
    <t xml:space="preserve">3.47 ± 0.25; 5.17 ± 0.35</t>
  </si>
  <si>
    <t xml:space="preserve">Grid vs lobule architecture</t>
  </si>
  <si>
    <t xml:space="preserve">Tissue-engineered liver using 3D-printed silk fibroin scaffolds loaded with stem cells for the treatment of acute liver injury</t>
  </si>
  <si>
    <t xml:space="preserve">3D silk fibroin scaffold study</t>
  </si>
  <si>
    <t xml:space="preserve">3D-printed silk fibroin</t>
  </si>
  <si>
    <t xml:space="preserve">ADSC-derived hepatic lineage model</t>
  </si>
  <si>
    <t xml:space="preserve">~12</t>
  </si>
  <si>
    <t xml:space="preserve">Liver tissue-engineering scaffold</t>
  </si>
  <si>
    <t xml:space="preserve">Stiffness_min_kPa</t>
  </si>
  <si>
    <t xml:space="preserve">Stiffness_max_kPa</t>
  </si>
  <si>
    <t xml:space="preserve">Stiffness_ML_kPa</t>
  </si>
  <si>
    <t xml:space="preserve">Stiffness_format</t>
  </si>
  <si>
    <t xml:space="preserve">Preprocessing_note</t>
  </si>
  <si>
    <t xml:space="preserve">ML_eligible_provisional</t>
  </si>
  <si>
    <t xml:space="preserve">Needs_manual_verification</t>
  </si>
  <si>
    <t xml:space="preserve">Publication_ready</t>
  </si>
  <si>
    <t xml:space="preserve">Range</t>
  </si>
  <si>
    <t xml:space="preserve">Midpoint is provisional; verify original paper</t>
  </si>
  <si>
    <t xml:space="preserve">Mean±SD</t>
  </si>
  <si>
    <t xml:space="preserve">Mean used for ML; raw field retains SD</t>
  </si>
  <si>
    <t xml:space="preserve">Single</t>
  </si>
  <si>
    <t xml:space="preserve">Single reported value</t>
  </si>
  <si>
    <t xml:space="preserve">Needs verification</t>
  </si>
  <si>
    <t xml:space="preserve">Do not collapse multiple/transition values automatically</t>
  </si>
  <si>
    <t xml:space="preserve">Approximate</t>
  </si>
  <si>
    <t xml:space="preserve">Approximate value; verify original paper</t>
  </si>
  <si>
    <t xml:space="preserve">Definition</t>
  </si>
  <si>
    <t xml:space="preserve">Healthy/physiological liver-like phenotype</t>
  </si>
  <si>
    <t xml:space="preserve">MASLD-like phenotype with steatosis/metabolic dysfunction evidence</t>
  </si>
  <si>
    <t xml:space="preserve">MASH-like phenotype with steatosis plus inflammatory/ballooning evidence</t>
  </si>
  <si>
    <t xml:space="preserve">MASLD/MASH phenotype with fibrosis evidence</t>
  </si>
  <si>
    <t xml:space="preserve">Cirrhosis-like phenotype</t>
  </si>
  <si>
    <t xml:space="preserve">Column</t>
  </si>
  <si>
    <t xml:space="preserve">Meaning</t>
  </si>
  <si>
    <t xml:space="preserve">Original stiffness exactly as represented in the source dataset.</t>
  </si>
  <si>
    <t xml:space="preserve">Numeric value used provisionally for ML; range midpoint or reported mean where applicable.</t>
  </si>
  <si>
    <t xml:space="preserve">Lower end of a reported stiffness range.</t>
  </si>
  <si>
    <t xml:space="preserve">Upper end of a reported stiffness range.</t>
  </si>
  <si>
    <t xml:space="preserve">How the raw stiffness value was represented.</t>
  </si>
  <si>
    <t xml:space="preserve">Phenotype/outcome category from the source dataset.</t>
  </si>
  <si>
    <t xml:space="preserve">Numeric outcome code from the source codebook.</t>
  </si>
  <si>
    <t xml:space="preserve">Has a numeric stiffness value and an outcome code; suitable for exploratory ML after verification.</t>
  </si>
  <si>
    <t xml:space="preserve">Requires checking against the original paper before publication.</t>
  </si>
  <si>
    <t xml:space="preserve">Strict subset without approximate/range/complex stiffness values.</t>
  </si>
  <si>
    <t xml:space="preserve">Metric</t>
  </si>
  <si>
    <t xml:space="preserve">Count</t>
  </si>
  <si>
    <t xml:space="preserve">Total ML_Ready_Filter rows</t>
  </si>
  <si>
    <t xml:space="preserve">Rows with provisional numeric stiffness</t>
  </si>
  <si>
    <t xml:space="preserve">Rows needing manual verification</t>
  </si>
  <si>
    <t xml:space="preserve">Strict publication-ready rows</t>
  </si>
  <si>
    <t xml:space="preserve">Rows with complex/unparsed stiffness</t>
  </si>
  <si>
    <t xml:space="preserve">Important_note</t>
  </si>
  <si>
    <t xml:space="preserve">Proposed ML input X = stiffness (kPa) only.</t>
  </si>
  <si>
    <t xml:space="preserve">The outcome label should be supported by biological phenotype; stiffness alone should not be used to diagnose MASLD or MASH.</t>
  </si>
  <si>
    <t xml:space="preserve">Literature rows are experimental conditions, not independent patient samples.</t>
  </si>
  <si>
    <t xml:space="preserve">NR = numerical stiffness value not extracted in the preceding dataset.</t>
  </si>
  <si>
    <t xml:space="preserve">Approximate/range values should be verified against the original paper before publication.</t>
  </si>
  <si>
    <t xml:space="preserve">Some rows are 2D/supporting studies and are flagged accordingly.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</si>
</sst>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5"/>
    <col collapsed="false" customWidth="true" hidden="false" outlineLevel="0" max="4" min="4" style="0" width="40"/>
    <col collapsed="false" customWidth="true" hidden="false" outlineLevel="0" max="10" min="5" style="0" width="45"/>
    <col collapsed="false" customWidth="true" hidden="false" outlineLevel="0" max="11" min="11" style="0" width="43"/>
    <col collapsed="false" customWidth="true" hidden="false" outlineLevel="0" max="12" min="12" style="0" width="27.54"/>
    <col collapsed="false" customWidth="true" hidden="false" outlineLevel="0" max="13" min="13" style="0" width="4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s">
        <v>14</v>
      </c>
      <c r="D2" s="0" t="n">
        <v>2020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n">
        <v>0</v>
      </c>
      <c r="M2" s="0" t="s">
        <v>19</v>
      </c>
    </row>
    <row r="3" customFormat="false" ht="15" hidden="false" customHeight="false" outlineLevel="0" collapsed="false">
      <c r="A3" s="0" t="n">
        <v>1</v>
      </c>
      <c r="B3" s="0" t="s">
        <v>13</v>
      </c>
      <c r="C3" s="0" t="s">
        <v>22</v>
      </c>
      <c r="D3" s="0" t="n">
        <v>2020</v>
      </c>
      <c r="E3" s="0" t="s">
        <v>13</v>
      </c>
      <c r="F3" s="0" t="s">
        <v>16</v>
      </c>
      <c r="G3" s="0" t="s">
        <v>17</v>
      </c>
      <c r="H3" s="0" t="s">
        <v>18</v>
      </c>
      <c r="I3" s="0" t="s">
        <v>23</v>
      </c>
      <c r="J3" s="0" t="s">
        <v>24</v>
      </c>
      <c r="K3" s="0" t="s">
        <v>25</v>
      </c>
      <c r="L3" s="0" t="n">
        <v>3</v>
      </c>
      <c r="M3" s="0" t="s">
        <v>23</v>
      </c>
    </row>
    <row r="4" customFormat="false" ht="15" hidden="false" customHeight="false" outlineLevel="0" collapsed="false">
      <c r="A4" s="0" t="n">
        <v>1</v>
      </c>
      <c r="B4" s="0" t="s">
        <v>13</v>
      </c>
      <c r="C4" s="0" t="s">
        <v>22</v>
      </c>
      <c r="D4" s="0" t="n">
        <v>2020</v>
      </c>
      <c r="E4" s="0" t="s">
        <v>13</v>
      </c>
      <c r="F4" s="0" t="s">
        <v>16</v>
      </c>
      <c r="G4" s="0" t="s">
        <v>17</v>
      </c>
      <c r="H4" s="0" t="s">
        <v>18</v>
      </c>
      <c r="I4" s="0" t="s">
        <v>26</v>
      </c>
      <c r="J4" s="0" t="s">
        <v>27</v>
      </c>
      <c r="K4" s="0" t="s">
        <v>28</v>
      </c>
      <c r="L4" s="0" t="n">
        <v>4</v>
      </c>
      <c r="M4" s="0" t="s">
        <v>26</v>
      </c>
    </row>
    <row r="5" customFormat="false" ht="15" hidden="false" customHeight="false" outlineLevel="0" collapsed="false">
      <c r="A5" s="0" t="n">
        <v>2</v>
      </c>
      <c r="B5" s="0" t="s">
        <v>29</v>
      </c>
      <c r="C5" s="0" t="s">
        <v>30</v>
      </c>
      <c r="D5" s="0" t="n">
        <v>2020</v>
      </c>
      <c r="E5" s="0" t="s">
        <v>31</v>
      </c>
      <c r="F5" s="0" t="s">
        <v>16</v>
      </c>
      <c r="G5" s="0" t="s">
        <v>32</v>
      </c>
      <c r="H5" s="0" t="s">
        <v>33</v>
      </c>
      <c r="I5" s="0" t="s">
        <v>34</v>
      </c>
      <c r="J5" s="0" t="s">
        <v>35</v>
      </c>
      <c r="K5" s="0" t="s">
        <v>21</v>
      </c>
      <c r="L5" s="0" t="n">
        <v>0</v>
      </c>
      <c r="M5" s="0" t="s">
        <v>34</v>
      </c>
    </row>
    <row r="6" customFormat="false" ht="15" hidden="false" customHeight="false" outlineLevel="0" collapsed="false">
      <c r="A6" s="0" t="n">
        <v>3</v>
      </c>
      <c r="B6" s="0" t="s">
        <v>36</v>
      </c>
      <c r="C6" s="0" t="s">
        <v>37</v>
      </c>
      <c r="D6" s="0" t="n">
        <v>2020</v>
      </c>
      <c r="E6" s="0" t="s">
        <v>36</v>
      </c>
      <c r="F6" s="0" t="s">
        <v>16</v>
      </c>
      <c r="G6" s="0" t="s">
        <v>38</v>
      </c>
      <c r="H6" s="0" t="s">
        <v>39</v>
      </c>
      <c r="I6" s="0" t="s">
        <v>40</v>
      </c>
      <c r="J6" s="0" t="s">
        <v>41</v>
      </c>
      <c r="K6" s="0" t="s">
        <v>42</v>
      </c>
      <c r="L6" s="0" t="n">
        <v>0</v>
      </c>
      <c r="M6" s="0" t="s">
        <v>40</v>
      </c>
    </row>
    <row r="7" customFormat="false" ht="15" hidden="false" customHeight="false" outlineLevel="0" collapsed="false">
      <c r="A7" s="0" t="n">
        <v>3</v>
      </c>
      <c r="B7" s="0" t="s">
        <v>36</v>
      </c>
      <c r="C7" s="0" t="s">
        <v>22</v>
      </c>
      <c r="D7" s="0" t="n">
        <v>2020</v>
      </c>
      <c r="E7" s="0" t="s">
        <v>36</v>
      </c>
      <c r="F7" s="0" t="s">
        <v>16</v>
      </c>
      <c r="G7" s="0" t="s">
        <v>38</v>
      </c>
      <c r="H7" s="0" t="s">
        <v>39</v>
      </c>
      <c r="I7" s="0" t="s">
        <v>43</v>
      </c>
      <c r="J7" s="0" t="s">
        <v>44</v>
      </c>
      <c r="K7" s="0" t="s">
        <v>21</v>
      </c>
      <c r="L7" s="0" t="n">
        <v>0</v>
      </c>
      <c r="M7" s="0" t="s">
        <v>43</v>
      </c>
    </row>
    <row r="8" customFormat="false" ht="15" hidden="false" customHeight="false" outlineLevel="0" collapsed="false">
      <c r="A8" s="0" t="n">
        <v>3</v>
      </c>
      <c r="B8" s="0" t="s">
        <v>36</v>
      </c>
      <c r="C8" s="0" t="s">
        <v>22</v>
      </c>
      <c r="D8" s="0" t="n">
        <v>2020</v>
      </c>
      <c r="E8" s="0" t="s">
        <v>36</v>
      </c>
      <c r="F8" s="0" t="s">
        <v>16</v>
      </c>
      <c r="G8" s="0" t="s">
        <v>45</v>
      </c>
      <c r="H8" s="0" t="s">
        <v>39</v>
      </c>
      <c r="I8" s="0" t="s">
        <v>46</v>
      </c>
      <c r="J8" s="0" t="s">
        <v>47</v>
      </c>
      <c r="K8" s="0" t="s">
        <v>25</v>
      </c>
      <c r="L8" s="0" t="n">
        <v>3</v>
      </c>
      <c r="M8" s="0" t="s">
        <v>46</v>
      </c>
    </row>
    <row r="9" customFormat="false" ht="15" hidden="false" customHeight="false" outlineLevel="0" collapsed="false">
      <c r="A9" s="0" t="n">
        <v>4</v>
      </c>
      <c r="B9" s="0" t="s">
        <v>48</v>
      </c>
      <c r="C9" s="0" t="s">
        <v>49</v>
      </c>
      <c r="D9" s="0" t="n">
        <v>2015</v>
      </c>
      <c r="E9" s="0" t="s">
        <v>50</v>
      </c>
      <c r="F9" s="0" t="s">
        <v>16</v>
      </c>
      <c r="G9" s="0" t="s">
        <v>51</v>
      </c>
      <c r="H9" s="0" t="s">
        <v>52</v>
      </c>
      <c r="I9" s="0" t="s">
        <v>53</v>
      </c>
      <c r="J9" s="0" t="s">
        <v>54</v>
      </c>
      <c r="K9" s="0" t="s">
        <v>42</v>
      </c>
      <c r="L9" s="0" t="n">
        <v>0</v>
      </c>
      <c r="M9" s="0" t="s">
        <v>53</v>
      </c>
    </row>
    <row r="10" customFormat="false" ht="15" hidden="false" customHeight="false" outlineLevel="0" collapsed="false">
      <c r="A10" s="0" t="n">
        <v>4</v>
      </c>
      <c r="B10" s="0" t="s">
        <v>48</v>
      </c>
      <c r="C10" s="0" t="s">
        <v>22</v>
      </c>
      <c r="D10" s="0" t="n">
        <v>2015</v>
      </c>
      <c r="E10" s="0" t="s">
        <v>48</v>
      </c>
      <c r="F10" s="0" t="s">
        <v>16</v>
      </c>
      <c r="G10" s="0" t="s">
        <v>51</v>
      </c>
      <c r="H10" s="0" t="s">
        <v>52</v>
      </c>
      <c r="I10" s="0" t="s">
        <v>55</v>
      </c>
      <c r="J10" s="0" t="s">
        <v>56</v>
      </c>
      <c r="K10" s="0" t="s">
        <v>42</v>
      </c>
      <c r="L10" s="0" t="n">
        <v>0</v>
      </c>
      <c r="M10" s="0" t="s">
        <v>55</v>
      </c>
    </row>
    <row r="11" customFormat="false" ht="15" hidden="false" customHeight="false" outlineLevel="0" collapsed="false">
      <c r="A11" s="0" t="n">
        <v>4</v>
      </c>
      <c r="B11" s="0" t="s">
        <v>48</v>
      </c>
      <c r="C11" s="0" t="s">
        <v>22</v>
      </c>
      <c r="D11" s="0" t="n">
        <v>2015</v>
      </c>
      <c r="E11" s="0" t="s">
        <v>48</v>
      </c>
      <c r="F11" s="0" t="s">
        <v>16</v>
      </c>
      <c r="G11" s="0" t="s">
        <v>51</v>
      </c>
      <c r="H11" s="0" t="s">
        <v>52</v>
      </c>
      <c r="I11" s="0" t="s">
        <v>57</v>
      </c>
      <c r="J11" s="0" t="s">
        <v>58</v>
      </c>
      <c r="K11" s="0" t="s">
        <v>59</v>
      </c>
      <c r="L11" s="0" t="n">
        <v>3</v>
      </c>
      <c r="M11" s="0" t="s">
        <v>57</v>
      </c>
    </row>
    <row r="12" customFormat="false" ht="15" hidden="false" customHeight="false" outlineLevel="0" collapsed="false">
      <c r="A12" s="0" t="n">
        <v>5</v>
      </c>
      <c r="B12" s="0" t="s">
        <v>60</v>
      </c>
      <c r="C12" s="0" t="s">
        <v>61</v>
      </c>
      <c r="D12" s="0" t="n">
        <v>2016</v>
      </c>
      <c r="E12" s="0" t="s">
        <v>62</v>
      </c>
      <c r="F12" s="0" t="s">
        <v>16</v>
      </c>
      <c r="G12" s="0" t="s">
        <v>63</v>
      </c>
      <c r="H12" s="0" t="s">
        <v>64</v>
      </c>
      <c r="I12" s="0" t="s">
        <v>65</v>
      </c>
      <c r="J12" s="0" t="s">
        <v>66</v>
      </c>
      <c r="K12" s="0" t="s">
        <v>67</v>
      </c>
      <c r="L12" s="0" t="n">
        <v>3</v>
      </c>
      <c r="M12" s="0" t="s">
        <v>65</v>
      </c>
    </row>
    <row r="13" customFormat="false" ht="15" hidden="false" customHeight="false" outlineLevel="0" collapsed="false">
      <c r="A13" s="0" t="n">
        <v>6</v>
      </c>
      <c r="B13" s="0" t="s">
        <v>48</v>
      </c>
      <c r="C13" s="0" t="s">
        <v>68</v>
      </c>
      <c r="D13" s="0" t="n">
        <v>2017</v>
      </c>
      <c r="E13" s="0" t="s">
        <v>69</v>
      </c>
      <c r="F13" s="0" t="s">
        <v>16</v>
      </c>
      <c r="G13" s="0" t="s">
        <v>70</v>
      </c>
      <c r="H13" s="0" t="s">
        <v>71</v>
      </c>
      <c r="I13" s="0" t="s">
        <v>72</v>
      </c>
      <c r="J13" s="0" t="s">
        <v>73</v>
      </c>
      <c r="K13" s="0" t="s">
        <v>42</v>
      </c>
      <c r="L13" s="0" t="n">
        <v>0</v>
      </c>
      <c r="M13" s="0" t="s">
        <v>72</v>
      </c>
    </row>
    <row r="14" customFormat="false" ht="15" hidden="false" customHeight="false" outlineLevel="0" collapsed="false">
      <c r="A14" s="0" t="n">
        <v>7</v>
      </c>
      <c r="B14" s="0" t="s">
        <v>74</v>
      </c>
      <c r="C14" s="0" t="s">
        <v>75</v>
      </c>
      <c r="D14" s="0" t="n">
        <v>2020</v>
      </c>
      <c r="E14" s="0" t="s">
        <v>76</v>
      </c>
      <c r="F14" s="0" t="s">
        <v>16</v>
      </c>
      <c r="G14" s="0" t="s">
        <v>77</v>
      </c>
      <c r="H14" s="0" t="s">
        <v>39</v>
      </c>
      <c r="I14" s="0" t="s">
        <v>78</v>
      </c>
      <c r="J14" s="0" t="s">
        <v>79</v>
      </c>
      <c r="K14" s="0" t="s">
        <v>42</v>
      </c>
      <c r="L14" s="0" t="n">
        <v>0</v>
      </c>
      <c r="M14" s="0" t="s">
        <v>78</v>
      </c>
    </row>
    <row r="15" customFormat="false" ht="15" hidden="false" customHeight="false" outlineLevel="0" collapsed="false">
      <c r="A15" s="0" t="n">
        <v>8</v>
      </c>
      <c r="B15" s="0" t="s">
        <v>80</v>
      </c>
      <c r="C15" s="0" t="s">
        <v>81</v>
      </c>
      <c r="D15" s="0" t="n">
        <v>2021</v>
      </c>
      <c r="E15" s="0" t="s">
        <v>82</v>
      </c>
      <c r="F15" s="0" t="s">
        <v>16</v>
      </c>
      <c r="G15" s="0" t="s">
        <v>83</v>
      </c>
      <c r="H15" s="0" t="s">
        <v>84</v>
      </c>
      <c r="I15" s="0" t="s">
        <v>85</v>
      </c>
      <c r="J15" s="0" t="s">
        <v>86</v>
      </c>
      <c r="K15" s="0" t="s">
        <v>59</v>
      </c>
      <c r="L15" s="0" t="n">
        <v>3</v>
      </c>
      <c r="M15" s="0" t="s">
        <v>85</v>
      </c>
    </row>
    <row r="16" customFormat="false" ht="15" hidden="false" customHeight="false" outlineLevel="0" collapsed="false">
      <c r="A16" s="0" t="n">
        <v>9</v>
      </c>
      <c r="B16" s="0" t="s">
        <v>87</v>
      </c>
      <c r="C16" s="0" t="s">
        <v>88</v>
      </c>
      <c r="D16" s="0" t="n">
        <v>2023</v>
      </c>
      <c r="E16" s="0" t="s">
        <v>89</v>
      </c>
      <c r="F16" s="0" t="s">
        <v>16</v>
      </c>
      <c r="G16" s="0" t="s">
        <v>90</v>
      </c>
      <c r="H16" s="0" t="s">
        <v>91</v>
      </c>
      <c r="I16" s="0" t="s">
        <v>92</v>
      </c>
      <c r="J16" s="0" t="s">
        <v>93</v>
      </c>
      <c r="K16" s="0" t="s">
        <v>94</v>
      </c>
      <c r="L16" s="0" t="n">
        <v>3</v>
      </c>
      <c r="M16" s="0" t="s">
        <v>92</v>
      </c>
    </row>
    <row r="17" customFormat="false" ht="15" hidden="false" customHeight="false" outlineLevel="0" collapsed="false">
      <c r="A17" s="0" t="n">
        <v>9</v>
      </c>
      <c r="B17" s="0" t="s">
        <v>87</v>
      </c>
      <c r="C17" s="0" t="s">
        <v>22</v>
      </c>
      <c r="D17" s="0" t="n">
        <v>2023</v>
      </c>
      <c r="E17" s="0" t="s">
        <v>87</v>
      </c>
      <c r="F17" s="0" t="s">
        <v>16</v>
      </c>
      <c r="G17" s="0" t="s">
        <v>90</v>
      </c>
      <c r="H17" s="0" t="s">
        <v>91</v>
      </c>
      <c r="I17" s="0" t="s">
        <v>95</v>
      </c>
      <c r="J17" s="0" t="s">
        <v>96</v>
      </c>
      <c r="K17" s="0" t="s">
        <v>28</v>
      </c>
      <c r="L17" s="0" t="n">
        <v>4</v>
      </c>
      <c r="M17" s="0" t="s">
        <v>95</v>
      </c>
    </row>
    <row r="18" customFormat="false" ht="15" hidden="false" customHeight="false" outlineLevel="0" collapsed="false">
      <c r="A18" s="0" t="n">
        <v>10</v>
      </c>
      <c r="B18" s="0" t="s">
        <v>97</v>
      </c>
      <c r="C18" s="0" t="s">
        <v>98</v>
      </c>
      <c r="D18" s="0" t="n">
        <v>2025</v>
      </c>
      <c r="E18" s="0" t="s">
        <v>99</v>
      </c>
      <c r="F18" s="0" t="s">
        <v>16</v>
      </c>
      <c r="G18" s="0" t="s">
        <v>100</v>
      </c>
      <c r="H18" s="0" t="s">
        <v>101</v>
      </c>
      <c r="I18" s="0" t="s">
        <v>102</v>
      </c>
      <c r="J18" s="0" t="s">
        <v>42</v>
      </c>
      <c r="K18" s="0" t="s">
        <v>21</v>
      </c>
      <c r="L18" s="0" t="n">
        <v>0</v>
      </c>
      <c r="M18" s="0" t="s">
        <v>102</v>
      </c>
    </row>
    <row r="19" customFormat="false" ht="15" hidden="false" customHeight="false" outlineLevel="0" collapsed="false">
      <c r="A19" s="0" t="n">
        <v>10</v>
      </c>
      <c r="B19" s="0" t="s">
        <v>97</v>
      </c>
      <c r="C19" s="0" t="s">
        <v>22</v>
      </c>
      <c r="D19" s="0" t="n">
        <v>2025</v>
      </c>
      <c r="E19" s="0" t="s">
        <v>97</v>
      </c>
      <c r="F19" s="0" t="s">
        <v>16</v>
      </c>
      <c r="G19" s="0" t="s">
        <v>100</v>
      </c>
      <c r="H19" s="0" t="s">
        <v>101</v>
      </c>
      <c r="I19" s="0" t="s">
        <v>103</v>
      </c>
      <c r="J19" s="0" t="s">
        <v>104</v>
      </c>
      <c r="K19" s="0" t="s">
        <v>105</v>
      </c>
      <c r="L19" s="0" t="n">
        <v>1</v>
      </c>
      <c r="M19" s="0" t="s">
        <v>103</v>
      </c>
    </row>
    <row r="20" customFormat="false" ht="15" hidden="false" customHeight="false" outlineLevel="0" collapsed="false">
      <c r="A20" s="0" t="n">
        <v>10</v>
      </c>
      <c r="B20" s="0" t="s">
        <v>97</v>
      </c>
      <c r="C20" s="0" t="s">
        <v>22</v>
      </c>
      <c r="D20" s="0" t="n">
        <v>2025</v>
      </c>
      <c r="E20" s="0" t="s">
        <v>97</v>
      </c>
      <c r="F20" s="0" t="s">
        <v>16</v>
      </c>
      <c r="G20" s="0" t="s">
        <v>100</v>
      </c>
      <c r="H20" s="0" t="s">
        <v>101</v>
      </c>
      <c r="I20" s="0" t="s">
        <v>106</v>
      </c>
      <c r="J20" s="0" t="s">
        <v>107</v>
      </c>
      <c r="K20" s="0" t="s">
        <v>108</v>
      </c>
      <c r="L20" s="0" t="n">
        <v>2</v>
      </c>
      <c r="M20" s="0" t="s">
        <v>106</v>
      </c>
    </row>
    <row r="21" customFormat="false" ht="15" hidden="false" customHeight="false" outlineLevel="0" collapsed="false">
      <c r="A21" s="0" t="n">
        <v>11</v>
      </c>
      <c r="B21" s="0" t="s">
        <v>109</v>
      </c>
      <c r="C21" s="0" t="s">
        <v>110</v>
      </c>
      <c r="D21" s="0" t="n">
        <v>2010</v>
      </c>
      <c r="E21" s="0" t="s">
        <v>111</v>
      </c>
      <c r="F21" s="0" t="s">
        <v>16</v>
      </c>
      <c r="G21" s="0" t="s">
        <v>112</v>
      </c>
      <c r="H21" s="0" t="s">
        <v>113</v>
      </c>
      <c r="I21" s="0" t="s">
        <v>114</v>
      </c>
      <c r="J21" s="0" t="s">
        <v>115</v>
      </c>
      <c r="K21" s="0" t="s">
        <v>21</v>
      </c>
      <c r="L21" s="0" t="n">
        <v>0</v>
      </c>
      <c r="M21" s="0" t="s">
        <v>114</v>
      </c>
    </row>
    <row r="22" customFormat="false" ht="15" hidden="false" customHeight="false" outlineLevel="0" collapsed="false">
      <c r="A22" s="0" t="n">
        <v>12</v>
      </c>
      <c r="B22" s="0" t="s">
        <v>116</v>
      </c>
      <c r="C22" s="0" t="s">
        <v>117</v>
      </c>
      <c r="D22" s="0" t="n">
        <v>2013</v>
      </c>
      <c r="E22" s="0" t="s">
        <v>118</v>
      </c>
      <c r="F22" s="0" t="s">
        <v>119</v>
      </c>
      <c r="G22" s="0" t="s">
        <v>120</v>
      </c>
      <c r="H22" s="0" t="s">
        <v>113</v>
      </c>
      <c r="I22" s="0" t="s">
        <v>121</v>
      </c>
      <c r="J22" s="0" t="s">
        <v>122</v>
      </c>
      <c r="K22" s="0" t="s">
        <v>123</v>
      </c>
      <c r="M22" s="0" t="s">
        <v>121</v>
      </c>
    </row>
    <row r="23" customFormat="false" ht="15" hidden="false" customHeight="false" outlineLevel="0" collapsed="false">
      <c r="A23" s="0" t="n">
        <v>13</v>
      </c>
      <c r="B23" s="0" t="s">
        <v>124</v>
      </c>
      <c r="C23" s="0" t="s">
        <v>125</v>
      </c>
      <c r="D23" s="0" t="n">
        <v>2016</v>
      </c>
      <c r="E23" s="0" t="s">
        <v>126</v>
      </c>
      <c r="F23" s="0" t="s">
        <v>16</v>
      </c>
      <c r="G23" s="0" t="s">
        <v>127</v>
      </c>
      <c r="H23" s="0" t="s">
        <v>128</v>
      </c>
      <c r="I23" s="0" t="s">
        <v>129</v>
      </c>
      <c r="J23" s="0" t="s">
        <v>130</v>
      </c>
      <c r="K23" s="0" t="s">
        <v>42</v>
      </c>
      <c r="L23" s="0" t="n">
        <v>0</v>
      </c>
      <c r="M23" s="0" t="s">
        <v>129</v>
      </c>
    </row>
    <row r="24" customFormat="false" ht="15" hidden="false" customHeight="false" outlineLevel="0" collapsed="false">
      <c r="A24" s="0" t="n">
        <v>14</v>
      </c>
      <c r="B24" s="0" t="s">
        <v>131</v>
      </c>
      <c r="C24" s="0" t="s">
        <v>132</v>
      </c>
      <c r="D24" s="0" t="n">
        <v>2012</v>
      </c>
      <c r="E24" s="0" t="s">
        <v>133</v>
      </c>
      <c r="F24" s="0" t="s">
        <v>16</v>
      </c>
      <c r="G24" s="0" t="s">
        <v>134</v>
      </c>
      <c r="H24" s="0" t="s">
        <v>135</v>
      </c>
      <c r="I24" s="0" t="s">
        <v>136</v>
      </c>
      <c r="J24" s="0" t="s">
        <v>137</v>
      </c>
      <c r="K24" s="0" t="s">
        <v>42</v>
      </c>
      <c r="L24" s="0" t="n">
        <v>0</v>
      </c>
    </row>
    <row r="25" customFormat="false" ht="15" hidden="false" customHeight="false" outlineLevel="0" collapsed="false">
      <c r="A25" s="0" t="n">
        <v>15</v>
      </c>
      <c r="B25" s="0" t="s">
        <v>138</v>
      </c>
      <c r="C25" s="0" t="s">
        <v>139</v>
      </c>
      <c r="D25" s="0" t="n">
        <v>2016</v>
      </c>
      <c r="E25" s="0" t="s">
        <v>140</v>
      </c>
      <c r="F25" s="0" t="s">
        <v>141</v>
      </c>
      <c r="G25" s="0" t="s">
        <v>142</v>
      </c>
      <c r="H25" s="0" t="s">
        <v>143</v>
      </c>
      <c r="I25" s="0" t="s">
        <v>144</v>
      </c>
      <c r="J25" s="0" t="s">
        <v>42</v>
      </c>
      <c r="K25" s="0" t="s">
        <v>21</v>
      </c>
      <c r="L25" s="0" t="n">
        <v>0</v>
      </c>
      <c r="M25" s="0" t="s">
        <v>144</v>
      </c>
    </row>
    <row r="26" customFormat="false" ht="15" hidden="false" customHeight="false" outlineLevel="0" collapsed="false">
      <c r="A26" s="0" t="n">
        <v>15</v>
      </c>
      <c r="B26" s="0" t="s">
        <v>138</v>
      </c>
      <c r="C26" s="0" t="s">
        <v>22</v>
      </c>
      <c r="D26" s="0" t="n">
        <v>2016</v>
      </c>
      <c r="E26" s="0" t="s">
        <v>138</v>
      </c>
      <c r="F26" s="0" t="s">
        <v>141</v>
      </c>
      <c r="G26" s="0" t="s">
        <v>145</v>
      </c>
      <c r="H26" s="0" t="s">
        <v>143</v>
      </c>
      <c r="I26" s="0" t="s">
        <v>146</v>
      </c>
      <c r="J26" s="0" t="s">
        <v>147</v>
      </c>
      <c r="K26" s="0" t="s">
        <v>148</v>
      </c>
      <c r="L26" s="0" t="n">
        <v>4</v>
      </c>
      <c r="M26" s="0" t="s">
        <v>146</v>
      </c>
    </row>
    <row r="27" customFormat="false" ht="15" hidden="false" customHeight="false" outlineLevel="0" collapsed="false">
      <c r="A27" s="0" t="n">
        <v>16</v>
      </c>
      <c r="B27" s="0" t="s">
        <v>149</v>
      </c>
      <c r="C27" s="0" t="s">
        <v>150</v>
      </c>
      <c r="D27" s="0" t="n">
        <v>2011</v>
      </c>
      <c r="E27" s="0" t="s">
        <v>151</v>
      </c>
      <c r="F27" s="0" t="s">
        <v>141</v>
      </c>
      <c r="G27" s="0" t="s">
        <v>152</v>
      </c>
      <c r="H27" s="0" t="s">
        <v>91</v>
      </c>
      <c r="I27" s="0" t="s">
        <v>153</v>
      </c>
      <c r="J27" s="0" t="s">
        <v>154</v>
      </c>
      <c r="K27" s="0" t="s">
        <v>42</v>
      </c>
      <c r="L27" s="0" t="n">
        <v>0</v>
      </c>
      <c r="M27" s="0" t="s">
        <v>153</v>
      </c>
    </row>
    <row r="28" customFormat="false" ht="15" hidden="false" customHeight="false" outlineLevel="0" collapsed="false">
      <c r="A28" s="0" t="n">
        <v>16</v>
      </c>
      <c r="B28" s="0" t="s">
        <v>149</v>
      </c>
      <c r="C28" s="0" t="s">
        <v>22</v>
      </c>
      <c r="D28" s="0" t="n">
        <v>2011</v>
      </c>
      <c r="E28" s="0" t="s">
        <v>149</v>
      </c>
      <c r="F28" s="0" t="s">
        <v>141</v>
      </c>
      <c r="G28" s="0" t="s">
        <v>152</v>
      </c>
      <c r="H28" s="0" t="s">
        <v>91</v>
      </c>
      <c r="I28" s="0" t="s">
        <v>155</v>
      </c>
      <c r="J28" s="0" t="s">
        <v>156</v>
      </c>
      <c r="K28" s="0" t="s">
        <v>157</v>
      </c>
      <c r="L28" s="0" t="n">
        <v>3</v>
      </c>
      <c r="M28" s="0" t="s">
        <v>155</v>
      </c>
    </row>
    <row r="29" customFormat="false" ht="15" hidden="false" customHeight="false" outlineLevel="0" collapsed="false">
      <c r="A29" s="0" t="n">
        <v>17</v>
      </c>
      <c r="B29" s="0" t="s">
        <v>158</v>
      </c>
      <c r="C29" s="0" t="s">
        <v>159</v>
      </c>
      <c r="D29" s="0" t="n">
        <v>2023</v>
      </c>
      <c r="E29" s="0" t="s">
        <v>160</v>
      </c>
      <c r="F29" s="0" t="s">
        <v>16</v>
      </c>
      <c r="G29" s="0" t="s">
        <v>161</v>
      </c>
      <c r="H29" s="0" t="s">
        <v>162</v>
      </c>
      <c r="I29" s="0" t="s">
        <v>136</v>
      </c>
      <c r="J29" s="0" t="s">
        <v>163</v>
      </c>
      <c r="K29" s="0" t="s">
        <v>42</v>
      </c>
      <c r="L29" s="0" t="n">
        <v>0</v>
      </c>
    </row>
    <row r="30" customFormat="false" ht="15" hidden="false" customHeight="false" outlineLevel="0" collapsed="false">
      <c r="A30" s="0" t="n">
        <v>18</v>
      </c>
      <c r="B30" s="0" t="s">
        <v>164</v>
      </c>
      <c r="C30" s="0" t="s">
        <v>165</v>
      </c>
      <c r="D30" s="0" t="n">
        <v>2012</v>
      </c>
      <c r="E30" s="0" t="s">
        <v>166</v>
      </c>
      <c r="F30" s="0" t="s">
        <v>16</v>
      </c>
      <c r="G30" s="0" t="s">
        <v>167</v>
      </c>
      <c r="H30" s="0" t="s">
        <v>168</v>
      </c>
      <c r="I30" s="0" t="s">
        <v>169</v>
      </c>
      <c r="J30" s="0" t="s">
        <v>170</v>
      </c>
      <c r="K30" s="0" t="s">
        <v>171</v>
      </c>
      <c r="M30" s="0" t="s">
        <v>169</v>
      </c>
    </row>
    <row r="31" customFormat="false" ht="15" hidden="false" customHeight="false" outlineLevel="0" collapsed="false">
      <c r="A31" s="0" t="n">
        <v>19</v>
      </c>
      <c r="B31" s="0" t="s">
        <v>172</v>
      </c>
      <c r="C31" s="0" t="s">
        <v>173</v>
      </c>
      <c r="D31" s="0" t="n">
        <v>2026</v>
      </c>
      <c r="E31" s="0" t="s">
        <v>174</v>
      </c>
      <c r="F31" s="0" t="s">
        <v>175</v>
      </c>
      <c r="G31" s="0" t="s">
        <v>176</v>
      </c>
      <c r="H31" s="0" t="s">
        <v>177</v>
      </c>
      <c r="I31" s="0" t="s">
        <v>178</v>
      </c>
      <c r="J31" s="0" t="s">
        <v>179</v>
      </c>
      <c r="K31" s="0" t="s">
        <v>21</v>
      </c>
      <c r="L31" s="0" t="n">
        <v>0</v>
      </c>
      <c r="M31" s="0" t="s">
        <v>178</v>
      </c>
    </row>
    <row r="32" customFormat="false" ht="15" hidden="false" customHeight="false" outlineLevel="0" collapsed="false">
      <c r="A32" s="0" t="n">
        <v>19</v>
      </c>
      <c r="B32" s="0" t="s">
        <v>172</v>
      </c>
      <c r="C32" s="0" t="s">
        <v>22</v>
      </c>
      <c r="D32" s="0" t="n">
        <v>2026</v>
      </c>
      <c r="E32" s="0" t="s">
        <v>172</v>
      </c>
      <c r="F32" s="0" t="s">
        <v>175</v>
      </c>
      <c r="G32" s="0" t="s">
        <v>176</v>
      </c>
      <c r="H32" s="0" t="s">
        <v>177</v>
      </c>
      <c r="I32" s="0" t="s">
        <v>180</v>
      </c>
      <c r="J32" s="0" t="s">
        <v>181</v>
      </c>
      <c r="K32" s="0" t="s">
        <v>25</v>
      </c>
      <c r="L32" s="0" t="n">
        <v>3</v>
      </c>
      <c r="M32" s="0" t="s">
        <v>180</v>
      </c>
    </row>
    <row r="33" customFormat="false" ht="15" hidden="false" customHeight="false" outlineLevel="0" collapsed="false">
      <c r="A33" s="0" t="n">
        <v>20</v>
      </c>
      <c r="B33" s="0" t="s">
        <v>182</v>
      </c>
      <c r="C33" s="0" t="s">
        <v>183</v>
      </c>
      <c r="D33" s="0" t="n">
        <v>2023</v>
      </c>
      <c r="E33" s="0" t="s">
        <v>184</v>
      </c>
      <c r="F33" s="0" t="s">
        <v>185</v>
      </c>
      <c r="G33" s="0" t="s">
        <v>186</v>
      </c>
      <c r="H33" s="0" t="s">
        <v>187</v>
      </c>
      <c r="I33" s="0" t="s">
        <v>188</v>
      </c>
      <c r="J33" s="0" t="s">
        <v>189</v>
      </c>
      <c r="K33" s="0" t="s">
        <v>59</v>
      </c>
      <c r="L33" s="0" t="n">
        <v>3</v>
      </c>
      <c r="M33" s="0" t="s">
        <v>188</v>
      </c>
    </row>
    <row r="34" customFormat="false" ht="15" hidden="false" customHeight="false" outlineLevel="0" collapsed="false">
      <c r="A34" s="0" t="n">
        <v>21</v>
      </c>
      <c r="B34" s="0" t="s">
        <v>190</v>
      </c>
      <c r="C34" s="0" t="s">
        <v>191</v>
      </c>
      <c r="D34" s="0" t="n">
        <v>2019</v>
      </c>
      <c r="E34" s="0" t="s">
        <v>192</v>
      </c>
      <c r="F34" s="0" t="s">
        <v>193</v>
      </c>
      <c r="G34" s="0" t="s">
        <v>194</v>
      </c>
      <c r="H34" s="0" t="s">
        <v>64</v>
      </c>
      <c r="I34" s="0" t="s">
        <v>195</v>
      </c>
      <c r="J34" s="0" t="s">
        <v>196</v>
      </c>
      <c r="K34" s="0" t="s">
        <v>197</v>
      </c>
      <c r="L34" s="0" t="n">
        <v>3</v>
      </c>
      <c r="M34" s="0" t="s">
        <v>195</v>
      </c>
    </row>
    <row r="35" customFormat="false" ht="15" hidden="false" customHeight="false" outlineLevel="0" collapsed="false">
      <c r="A35" s="0" t="n">
        <v>22</v>
      </c>
      <c r="B35" s="0" t="s">
        <v>190</v>
      </c>
      <c r="C35" s="0" t="s">
        <v>198</v>
      </c>
      <c r="D35" s="0" t="n">
        <v>2022</v>
      </c>
      <c r="E35" s="0" t="s">
        <v>199</v>
      </c>
      <c r="F35" s="0" t="s">
        <v>193</v>
      </c>
      <c r="G35" s="0" t="s">
        <v>145</v>
      </c>
      <c r="H35" s="0" t="s">
        <v>64</v>
      </c>
      <c r="I35" s="0" t="s">
        <v>195</v>
      </c>
      <c r="J35" s="0" t="s">
        <v>200</v>
      </c>
      <c r="K35" s="0" t="s">
        <v>197</v>
      </c>
      <c r="L35" s="0" t="n">
        <v>3</v>
      </c>
      <c r="M35" s="0" t="s">
        <v>195</v>
      </c>
    </row>
    <row r="36" customFormat="false" ht="15" hidden="false" customHeight="false" outlineLevel="0" collapsed="false">
      <c r="A36" s="0" t="n">
        <v>23</v>
      </c>
      <c r="B36" s="0" t="s">
        <v>97</v>
      </c>
      <c r="C36" s="0" t="s">
        <v>201</v>
      </c>
      <c r="D36" s="0" t="n">
        <v>2021</v>
      </c>
      <c r="E36" s="0" t="s">
        <v>202</v>
      </c>
      <c r="F36" s="0" t="s">
        <v>193</v>
      </c>
      <c r="G36" s="0" t="s">
        <v>145</v>
      </c>
      <c r="H36" s="0" t="s">
        <v>203</v>
      </c>
      <c r="I36" s="0" t="s">
        <v>204</v>
      </c>
      <c r="J36" s="0" t="s">
        <v>205</v>
      </c>
      <c r="K36" s="0" t="s">
        <v>206</v>
      </c>
      <c r="L36" s="0" t="n">
        <v>3</v>
      </c>
      <c r="M36" s="0" t="s">
        <v>204</v>
      </c>
    </row>
    <row r="37" customFormat="false" ht="15" hidden="false" customHeight="false" outlineLevel="0" collapsed="false">
      <c r="A37" s="0" t="n">
        <v>24</v>
      </c>
      <c r="B37" s="0" t="s">
        <v>207</v>
      </c>
      <c r="C37" s="0" t="s">
        <v>208</v>
      </c>
      <c r="D37" s="0" t="n">
        <v>2018</v>
      </c>
      <c r="E37" s="0" t="s">
        <v>209</v>
      </c>
      <c r="F37" s="0" t="s">
        <v>193</v>
      </c>
      <c r="G37" s="0" t="s">
        <v>210</v>
      </c>
      <c r="H37" s="0" t="s">
        <v>211</v>
      </c>
      <c r="I37" s="0" t="s">
        <v>212</v>
      </c>
      <c r="J37" s="0" t="s">
        <v>213</v>
      </c>
      <c r="K37" s="0" t="s">
        <v>214</v>
      </c>
      <c r="L37" s="0" t="n">
        <v>3</v>
      </c>
      <c r="M37" s="0" t="s">
        <v>212</v>
      </c>
    </row>
    <row r="38" customFormat="false" ht="15" hidden="false" customHeight="false" outlineLevel="0" collapsed="false">
      <c r="A38" s="0" t="n">
        <v>25</v>
      </c>
      <c r="B38" s="0" t="s">
        <v>182</v>
      </c>
      <c r="C38" s="0" t="s">
        <v>183</v>
      </c>
      <c r="D38" s="0" t="n">
        <v>2023</v>
      </c>
      <c r="E38" s="0" t="s">
        <v>215</v>
      </c>
      <c r="F38" s="0" t="s">
        <v>216</v>
      </c>
      <c r="G38" s="0" t="s">
        <v>217</v>
      </c>
      <c r="H38" s="0" t="s">
        <v>218</v>
      </c>
      <c r="I38" s="0" t="s">
        <v>219</v>
      </c>
      <c r="J38" s="0" t="s">
        <v>213</v>
      </c>
      <c r="K38" s="0" t="s">
        <v>214</v>
      </c>
      <c r="L38" s="0" t="n">
        <v>3</v>
      </c>
      <c r="M38" s="0" t="s">
        <v>219</v>
      </c>
    </row>
    <row r="39" customFormat="false" ht="15" hidden="false" customHeight="false" outlineLevel="0" collapsed="false">
      <c r="A39" s="0" t="n">
        <v>26</v>
      </c>
      <c r="B39" s="0" t="s">
        <v>220</v>
      </c>
      <c r="C39" s="0" t="s">
        <v>221</v>
      </c>
      <c r="D39" s="0" t="n">
        <v>2020</v>
      </c>
      <c r="E39" s="0" t="s">
        <v>222</v>
      </c>
      <c r="F39" s="0" t="s">
        <v>16</v>
      </c>
      <c r="G39" s="0" t="s">
        <v>223</v>
      </c>
      <c r="H39" s="0" t="s">
        <v>224</v>
      </c>
      <c r="I39" s="0" t="s">
        <v>225</v>
      </c>
      <c r="J39" s="0" t="s">
        <v>226</v>
      </c>
      <c r="K39" s="0" t="s">
        <v>227</v>
      </c>
      <c r="L39" s="0" t="n">
        <v>4</v>
      </c>
      <c r="M39" s="0" t="s">
        <v>225</v>
      </c>
    </row>
    <row r="40" customFormat="false" ht="15" hidden="false" customHeight="false" outlineLevel="0" collapsed="false">
      <c r="A40" s="0" t="n">
        <v>27</v>
      </c>
      <c r="B40" s="0" t="s">
        <v>228</v>
      </c>
      <c r="C40" s="0" t="s">
        <v>229</v>
      </c>
      <c r="D40" s="0" t="n">
        <v>2021</v>
      </c>
      <c r="E40" s="0" t="s">
        <v>230</v>
      </c>
      <c r="F40" s="0" t="s">
        <v>16</v>
      </c>
      <c r="G40" s="0" t="s">
        <v>231</v>
      </c>
      <c r="H40" s="0" t="s">
        <v>232</v>
      </c>
      <c r="I40" s="0" t="s">
        <v>233</v>
      </c>
      <c r="J40" s="0" t="s">
        <v>234</v>
      </c>
      <c r="K40" s="0" t="s">
        <v>235</v>
      </c>
      <c r="M40" s="0" t="s">
        <v>233</v>
      </c>
    </row>
    <row r="41" customFormat="false" ht="15" hidden="false" customHeight="false" outlineLevel="0" collapsed="false">
      <c r="A41" s="0" t="n">
        <v>28</v>
      </c>
      <c r="B41" s="0" t="s">
        <v>236</v>
      </c>
      <c r="C41" s="0" t="s">
        <v>237</v>
      </c>
      <c r="D41" s="0" t="n">
        <v>2022</v>
      </c>
      <c r="E41" s="0" t="s">
        <v>238</v>
      </c>
      <c r="F41" s="0" t="s">
        <v>16</v>
      </c>
      <c r="G41" s="0" t="s">
        <v>239</v>
      </c>
      <c r="H41" s="0" t="s">
        <v>39</v>
      </c>
      <c r="I41" s="0" t="s">
        <v>240</v>
      </c>
      <c r="J41" s="0" t="s">
        <v>241</v>
      </c>
      <c r="K41" s="0" t="s">
        <v>242</v>
      </c>
      <c r="L41" s="0" t="n">
        <v>0</v>
      </c>
      <c r="M41" s="0" t="s">
        <v>240</v>
      </c>
    </row>
    <row r="42" customFormat="false" ht="15" hidden="false" customHeight="false" outlineLevel="0" collapsed="false">
      <c r="A42" s="0" t="n">
        <v>29</v>
      </c>
      <c r="B42" s="0" t="s">
        <v>243</v>
      </c>
      <c r="C42" s="0" t="s">
        <v>244</v>
      </c>
      <c r="D42" s="0" t="n">
        <v>2024</v>
      </c>
      <c r="E42" s="0" t="s">
        <v>245</v>
      </c>
      <c r="F42" s="0" t="s">
        <v>16</v>
      </c>
      <c r="G42" s="0" t="s">
        <v>246</v>
      </c>
      <c r="H42" s="0" t="s">
        <v>247</v>
      </c>
      <c r="I42" s="0" t="s">
        <v>248</v>
      </c>
      <c r="J42" s="0" t="s">
        <v>249</v>
      </c>
      <c r="K42" s="0" t="s">
        <v>250</v>
      </c>
      <c r="L42" s="0" t="n">
        <v>4</v>
      </c>
      <c r="M42" s="0" t="s">
        <v>248</v>
      </c>
    </row>
    <row r="43" customFormat="false" ht="15" hidden="false" customHeight="false" outlineLevel="0" collapsed="false">
      <c r="A43" s="0" t="n">
        <v>30</v>
      </c>
      <c r="B43" s="0" t="s">
        <v>251</v>
      </c>
      <c r="C43" s="0" t="s">
        <v>252</v>
      </c>
      <c r="D43" s="0" t="n">
        <v>2026</v>
      </c>
      <c r="E43" s="0" t="s">
        <v>253</v>
      </c>
      <c r="F43" s="0" t="s">
        <v>16</v>
      </c>
      <c r="G43" s="0" t="s">
        <v>254</v>
      </c>
      <c r="H43" s="0" t="s">
        <v>255</v>
      </c>
      <c r="I43" s="0" t="s">
        <v>256</v>
      </c>
      <c r="J43" s="0" t="s">
        <v>257</v>
      </c>
      <c r="K43" s="0" t="s">
        <v>258</v>
      </c>
      <c r="L43" s="0" t="n">
        <v>0</v>
      </c>
      <c r="M43" s="0" t="s">
        <v>256</v>
      </c>
    </row>
    <row r="44" customFormat="false" ht="15" hidden="false" customHeight="false" outlineLevel="0" collapsed="false">
      <c r="A44" s="0" t="n">
        <v>31</v>
      </c>
      <c r="B44" s="0" t="s">
        <v>158</v>
      </c>
      <c r="C44" s="0" t="s">
        <v>259</v>
      </c>
      <c r="D44" s="0" t="n">
        <v>2026</v>
      </c>
      <c r="E44" s="0" t="s">
        <v>260</v>
      </c>
      <c r="F44" s="0" t="s">
        <v>16</v>
      </c>
      <c r="G44" s="0" t="s">
        <v>261</v>
      </c>
      <c r="H44" s="0" t="s">
        <v>262</v>
      </c>
      <c r="I44" s="0" t="s">
        <v>263</v>
      </c>
      <c r="J44" s="0" t="s">
        <v>264</v>
      </c>
      <c r="K44" s="0" t="s">
        <v>242</v>
      </c>
      <c r="L44" s="0" t="n">
        <v>0</v>
      </c>
      <c r="M44" s="0" t="s">
        <v>263</v>
      </c>
    </row>
    <row r="45" customFormat="false" ht="15" hidden="false" customHeight="false" outlineLevel="0" collapsed="false">
      <c r="A45" s="0" t="n">
        <v>32</v>
      </c>
      <c r="B45" s="0" t="s">
        <v>172</v>
      </c>
      <c r="C45" s="0" t="s">
        <v>265</v>
      </c>
      <c r="D45" s="0" t="n">
        <v>2024</v>
      </c>
      <c r="E45" s="0" t="s">
        <v>266</v>
      </c>
      <c r="F45" s="0" t="s">
        <v>267</v>
      </c>
      <c r="G45" s="0" t="s">
        <v>268</v>
      </c>
      <c r="H45" s="0" t="s">
        <v>269</v>
      </c>
      <c r="I45" s="0" t="s">
        <v>270</v>
      </c>
      <c r="J45" s="0" t="s">
        <v>271</v>
      </c>
      <c r="K45" s="0" t="s">
        <v>214</v>
      </c>
      <c r="L45" s="0" t="n">
        <v>3</v>
      </c>
      <c r="M45" s="0" t="s">
        <v>270</v>
      </c>
    </row>
    <row r="46" customFormat="false" ht="15" hidden="false" customHeight="false" outlineLevel="0" collapsed="false">
      <c r="A46" s="0" t="n">
        <v>33</v>
      </c>
      <c r="B46" s="0" t="s">
        <v>36</v>
      </c>
      <c r="C46" s="0" t="s">
        <v>37</v>
      </c>
      <c r="D46" s="0" t="n">
        <v>2020</v>
      </c>
      <c r="E46" s="0" t="s">
        <v>272</v>
      </c>
      <c r="F46" s="0" t="s">
        <v>16</v>
      </c>
      <c r="G46" s="0" t="s">
        <v>273</v>
      </c>
      <c r="H46" s="0" t="s">
        <v>39</v>
      </c>
      <c r="I46" s="0" t="s">
        <v>274</v>
      </c>
      <c r="J46" s="0" t="s">
        <v>275</v>
      </c>
      <c r="K46" s="0" t="s">
        <v>214</v>
      </c>
      <c r="L46" s="0" t="n">
        <v>3</v>
      </c>
      <c r="M46" s="0" t="s">
        <v>274</v>
      </c>
    </row>
    <row r="47" customFormat="false" ht="15" hidden="false" customHeight="false" outlineLevel="0" collapsed="false">
      <c r="A47" s="0" t="n">
        <v>34</v>
      </c>
      <c r="B47" s="0" t="s">
        <v>74</v>
      </c>
      <c r="C47" s="0" t="s">
        <v>75</v>
      </c>
      <c r="D47" s="0" t="n">
        <v>2020</v>
      </c>
      <c r="E47" s="0" t="s">
        <v>276</v>
      </c>
      <c r="F47" s="0" t="s">
        <v>16</v>
      </c>
      <c r="G47" s="0" t="s">
        <v>277</v>
      </c>
      <c r="H47" s="0" t="s">
        <v>278</v>
      </c>
      <c r="I47" s="0" t="s">
        <v>78</v>
      </c>
      <c r="J47" s="0" t="s">
        <v>279</v>
      </c>
      <c r="K47" s="0" t="s">
        <v>242</v>
      </c>
      <c r="L47" s="0" t="n">
        <v>0</v>
      </c>
      <c r="M47" s="0" t="s">
        <v>78</v>
      </c>
    </row>
    <row r="48" customFormat="false" ht="15" hidden="false" customHeight="false" outlineLevel="0" collapsed="false">
      <c r="A48" s="0" t="n">
        <v>35</v>
      </c>
      <c r="B48" s="0" t="s">
        <v>80</v>
      </c>
      <c r="C48" s="0" t="s">
        <v>81</v>
      </c>
      <c r="D48" s="0" t="n">
        <v>2021</v>
      </c>
      <c r="E48" s="0" t="s">
        <v>280</v>
      </c>
      <c r="F48" s="0" t="s">
        <v>16</v>
      </c>
      <c r="G48" s="0" t="s">
        <v>83</v>
      </c>
      <c r="H48" s="0" t="s">
        <v>281</v>
      </c>
      <c r="I48" s="0" t="s">
        <v>282</v>
      </c>
      <c r="J48" s="0" t="s">
        <v>283</v>
      </c>
      <c r="K48" s="0" t="s">
        <v>197</v>
      </c>
      <c r="L48" s="0" t="n">
        <v>3</v>
      </c>
      <c r="M48" s="0" t="s">
        <v>282</v>
      </c>
    </row>
    <row r="49" customFormat="false" ht="15" hidden="false" customHeight="false" outlineLevel="0" collapsed="false">
      <c r="A49" s="0" t="n">
        <v>36</v>
      </c>
      <c r="B49" s="0" t="s">
        <v>87</v>
      </c>
      <c r="C49" s="0" t="s">
        <v>88</v>
      </c>
      <c r="D49" s="0" t="n">
        <v>2023</v>
      </c>
      <c r="E49" s="0" t="s">
        <v>284</v>
      </c>
      <c r="F49" s="0" t="s">
        <v>16</v>
      </c>
      <c r="G49" s="0" t="s">
        <v>90</v>
      </c>
      <c r="H49" s="0" t="s">
        <v>18</v>
      </c>
      <c r="I49" s="0" t="s">
        <v>285</v>
      </c>
      <c r="J49" s="0" t="s">
        <v>286</v>
      </c>
      <c r="K49" s="0" t="s">
        <v>287</v>
      </c>
      <c r="L49" s="0" t="n">
        <v>3</v>
      </c>
      <c r="M49" s="0" t="s">
        <v>285</v>
      </c>
    </row>
    <row r="50" customFormat="false" ht="15" hidden="false" customHeight="false" outlineLevel="0" collapsed="false">
      <c r="A50" s="0" t="n">
        <v>37</v>
      </c>
      <c r="B50" s="0" t="s">
        <v>97</v>
      </c>
      <c r="C50" s="0" t="s">
        <v>98</v>
      </c>
      <c r="D50" s="0" t="n">
        <v>2025</v>
      </c>
      <c r="E50" s="0" t="s">
        <v>288</v>
      </c>
      <c r="F50" s="0" t="s">
        <v>16</v>
      </c>
      <c r="G50" s="0" t="s">
        <v>289</v>
      </c>
      <c r="H50" s="0" t="s">
        <v>101</v>
      </c>
      <c r="I50" s="0" t="s">
        <v>290</v>
      </c>
      <c r="J50" s="0" t="s">
        <v>291</v>
      </c>
      <c r="K50" s="0" t="s">
        <v>292</v>
      </c>
      <c r="L50" s="0" t="n">
        <v>2</v>
      </c>
      <c r="M50" s="0" t="s">
        <v>290</v>
      </c>
    </row>
    <row r="51" customFormat="false" ht="15" hidden="false" customHeight="false" outlineLevel="0" collapsed="false">
      <c r="A51" s="0" t="n">
        <v>38</v>
      </c>
      <c r="B51" s="0" t="s">
        <v>48</v>
      </c>
      <c r="C51" s="0" t="s">
        <v>49</v>
      </c>
      <c r="D51" s="0" t="n">
        <v>2015</v>
      </c>
      <c r="E51" s="0" t="s">
        <v>50</v>
      </c>
      <c r="F51" s="0" t="s">
        <v>16</v>
      </c>
      <c r="G51" s="0" t="s">
        <v>293</v>
      </c>
      <c r="H51" s="0" t="s">
        <v>52</v>
      </c>
      <c r="I51" s="0" t="s">
        <v>294</v>
      </c>
      <c r="J51" s="0" t="s">
        <v>295</v>
      </c>
      <c r="K51" s="0" t="s">
        <v>296</v>
      </c>
      <c r="L51" s="0" t="n">
        <v>3</v>
      </c>
      <c r="M51" s="0" t="s">
        <v>294</v>
      </c>
    </row>
    <row r="52" customFormat="false" ht="15" hidden="false" customHeight="false" outlineLevel="0" collapsed="false">
      <c r="A52" s="0" t="n">
        <v>39</v>
      </c>
      <c r="B52" s="0" t="s">
        <v>97</v>
      </c>
      <c r="C52" s="0" t="s">
        <v>173</v>
      </c>
      <c r="D52" s="0" t="n">
        <v>2026</v>
      </c>
      <c r="E52" s="0" t="s">
        <v>297</v>
      </c>
      <c r="F52" s="0" t="s">
        <v>298</v>
      </c>
      <c r="G52" s="0" t="s">
        <v>299</v>
      </c>
      <c r="H52" s="0" t="s">
        <v>177</v>
      </c>
      <c r="I52" s="0" t="s">
        <v>300</v>
      </c>
      <c r="J52" s="0" t="s">
        <v>301</v>
      </c>
      <c r="K52" s="0" t="s">
        <v>302</v>
      </c>
      <c r="L52" s="0" t="n">
        <v>3</v>
      </c>
      <c r="M52" s="0" t="s">
        <v>300</v>
      </c>
    </row>
    <row r="53" customFormat="false" ht="15" hidden="false" customHeight="false" outlineLevel="0" collapsed="false">
      <c r="A53" s="0" t="n">
        <v>40</v>
      </c>
      <c r="B53" s="0" t="s">
        <v>48</v>
      </c>
      <c r="C53" s="0" t="s">
        <v>303</v>
      </c>
      <c r="D53" s="0" t="n">
        <v>2020</v>
      </c>
      <c r="E53" s="0" t="s">
        <v>304</v>
      </c>
      <c r="F53" s="0" t="s">
        <v>305</v>
      </c>
      <c r="G53" s="0" t="s">
        <v>306</v>
      </c>
      <c r="H53" s="0" t="s">
        <v>128</v>
      </c>
      <c r="I53" s="0" t="s">
        <v>307</v>
      </c>
      <c r="J53" s="0" t="s">
        <v>308</v>
      </c>
      <c r="K53" s="0" t="s">
        <v>309</v>
      </c>
      <c r="L53" s="0" t="n">
        <v>3</v>
      </c>
      <c r="M53" s="0" t="s">
        <v>307</v>
      </c>
    </row>
    <row r="54" customFormat="false" ht="15" hidden="false" customHeight="false" outlineLevel="0" collapsed="false">
      <c r="A54" s="0" t="n">
        <v>41</v>
      </c>
      <c r="B54" s="0" t="s">
        <v>310</v>
      </c>
      <c r="C54" s="0" t="n">
        <v>2014</v>
      </c>
      <c r="D54" s="0" t="s">
        <v>60</v>
      </c>
      <c r="E54" s="0" t="s">
        <v>311</v>
      </c>
      <c r="F54" s="0" t="s">
        <v>63</v>
      </c>
      <c r="G54" s="0" t="s">
        <v>64</v>
      </c>
      <c r="H54" s="0" t="s">
        <v>312</v>
      </c>
      <c r="I54" s="0" t="s">
        <v>42</v>
      </c>
      <c r="J54" s="0" t="s">
        <v>21</v>
      </c>
      <c r="K54" s="0" t="n">
        <v>0</v>
      </c>
    </row>
    <row r="55" customFormat="false" ht="15" hidden="false" customHeight="false" outlineLevel="0" collapsed="false">
      <c r="A55" s="0" t="n">
        <v>41</v>
      </c>
      <c r="B55" s="0" t="s">
        <v>313</v>
      </c>
      <c r="C55" s="0" t="n">
        <v>2014</v>
      </c>
      <c r="D55" s="0" t="s">
        <v>60</v>
      </c>
      <c r="E55" s="0" t="s">
        <v>311</v>
      </c>
      <c r="F55" s="0" t="s">
        <v>63</v>
      </c>
      <c r="G55" s="0" t="s">
        <v>64</v>
      </c>
      <c r="H55" s="0" t="s">
        <v>314</v>
      </c>
      <c r="I55" s="0" t="s">
        <v>315</v>
      </c>
      <c r="J55" s="0" t="s">
        <v>25</v>
      </c>
      <c r="K55" s="0" t="n">
        <v>3</v>
      </c>
    </row>
    <row r="56" customFormat="false" ht="15" hidden="false" customHeight="false" outlineLevel="0" collapsed="false">
      <c r="A56" s="0" t="n">
        <v>42</v>
      </c>
      <c r="B56" s="0" t="s">
        <v>316</v>
      </c>
      <c r="C56" s="0" t="n">
        <v>2020</v>
      </c>
      <c r="D56" s="0" t="s">
        <v>317</v>
      </c>
      <c r="E56" s="0" t="s">
        <v>311</v>
      </c>
      <c r="F56" s="0" t="s">
        <v>318</v>
      </c>
      <c r="G56" s="0" t="s">
        <v>319</v>
      </c>
      <c r="H56" s="0" t="n">
        <v>7.5</v>
      </c>
      <c r="I56" s="0" t="s">
        <v>320</v>
      </c>
      <c r="J56" s="0" t="s">
        <v>25</v>
      </c>
      <c r="K56" s="0" t="n">
        <v>3</v>
      </c>
    </row>
    <row r="57" customFormat="false" ht="15" hidden="false" customHeight="false" outlineLevel="0" collapsed="false">
      <c r="A57" s="0" t="n">
        <v>42</v>
      </c>
      <c r="B57" s="0" t="s">
        <v>313</v>
      </c>
      <c r="C57" s="0" t="n">
        <v>2020</v>
      </c>
      <c r="D57" s="0" t="s">
        <v>317</v>
      </c>
      <c r="E57" s="0" t="s">
        <v>311</v>
      </c>
      <c r="F57" s="0" t="s">
        <v>318</v>
      </c>
      <c r="G57" s="0" t="s">
        <v>319</v>
      </c>
      <c r="H57" s="0" t="n">
        <v>24.5</v>
      </c>
      <c r="I57" s="0" t="s">
        <v>321</v>
      </c>
      <c r="J57" s="0" t="s">
        <v>25</v>
      </c>
      <c r="K57" s="0" t="n">
        <v>3</v>
      </c>
    </row>
    <row r="58" customFormat="false" ht="15" hidden="false" customHeight="false" outlineLevel="0" collapsed="false">
      <c r="A58" s="0" t="n">
        <v>42</v>
      </c>
      <c r="B58" s="0" t="s">
        <v>313</v>
      </c>
      <c r="C58" s="0" t="n">
        <v>2020</v>
      </c>
      <c r="D58" s="0" t="s">
        <v>317</v>
      </c>
      <c r="E58" s="0" t="s">
        <v>311</v>
      </c>
      <c r="F58" s="0" t="s">
        <v>322</v>
      </c>
      <c r="G58" s="0" t="s">
        <v>319</v>
      </c>
      <c r="H58" s="0" t="n">
        <v>40.8</v>
      </c>
      <c r="I58" s="0" t="s">
        <v>323</v>
      </c>
      <c r="J58" s="0" t="s">
        <v>324</v>
      </c>
      <c r="K58" s="0" t="n">
        <v>4</v>
      </c>
    </row>
    <row r="59" customFormat="false" ht="15" hidden="false" customHeight="false" outlineLevel="0" collapsed="false">
      <c r="A59" s="0" t="n">
        <v>43</v>
      </c>
      <c r="B59" s="0" t="s">
        <v>325</v>
      </c>
      <c r="C59" s="0" t="n">
        <v>2020</v>
      </c>
      <c r="D59" s="0" t="s">
        <v>326</v>
      </c>
      <c r="E59" s="0" t="s">
        <v>311</v>
      </c>
      <c r="F59" s="0" t="s">
        <v>327</v>
      </c>
      <c r="G59" s="0" t="s">
        <v>328</v>
      </c>
      <c r="H59" s="0" t="s">
        <v>329</v>
      </c>
      <c r="I59" s="0" t="s">
        <v>330</v>
      </c>
      <c r="J59" s="0" t="s">
        <v>21</v>
      </c>
      <c r="K59" s="0" t="n">
        <v>0</v>
      </c>
    </row>
    <row r="60" customFormat="false" ht="15" hidden="false" customHeight="false" outlineLevel="0" collapsed="false">
      <c r="A60" s="0" t="n">
        <v>43</v>
      </c>
      <c r="B60" s="0" t="s">
        <v>313</v>
      </c>
      <c r="C60" s="0" t="n">
        <v>2020</v>
      </c>
      <c r="D60" s="0" t="s">
        <v>326</v>
      </c>
      <c r="E60" s="0" t="s">
        <v>311</v>
      </c>
      <c r="F60" s="0" t="s">
        <v>331</v>
      </c>
      <c r="G60" s="0" t="s">
        <v>328</v>
      </c>
      <c r="H60" s="0" t="s">
        <v>332</v>
      </c>
      <c r="I60" s="0" t="s">
        <v>333</v>
      </c>
      <c r="J60" s="0" t="s">
        <v>25</v>
      </c>
      <c r="K60" s="0" t="n">
        <v>3</v>
      </c>
    </row>
    <row r="61" customFormat="false" ht="15" hidden="false" customHeight="false" outlineLevel="0" collapsed="false">
      <c r="A61" s="0" t="n">
        <v>44</v>
      </c>
      <c r="B61" s="0" t="s">
        <v>334</v>
      </c>
      <c r="C61" s="0" t="n">
        <v>2018</v>
      </c>
      <c r="D61" s="0" t="s">
        <v>335</v>
      </c>
      <c r="E61" s="0" t="s">
        <v>311</v>
      </c>
      <c r="F61" s="0" t="s">
        <v>336</v>
      </c>
      <c r="G61" s="0" t="s">
        <v>336</v>
      </c>
      <c r="H61" s="0" t="s">
        <v>178</v>
      </c>
      <c r="I61" s="0" t="s">
        <v>337</v>
      </c>
      <c r="J61" s="0" t="s">
        <v>42</v>
      </c>
      <c r="K61" s="0" t="n">
        <v>0</v>
      </c>
    </row>
    <row r="62" customFormat="false" ht="15" hidden="false" customHeight="false" outlineLevel="0" collapsed="false">
      <c r="A62" s="0" t="n">
        <v>44</v>
      </c>
      <c r="B62" s="0" t="s">
        <v>313</v>
      </c>
      <c r="C62" s="0" t="n">
        <v>2018</v>
      </c>
      <c r="D62" s="0" t="s">
        <v>335</v>
      </c>
      <c r="E62" s="0" t="s">
        <v>311</v>
      </c>
      <c r="F62" s="0" t="s">
        <v>336</v>
      </c>
      <c r="G62" s="0" t="s">
        <v>336</v>
      </c>
      <c r="H62" s="0" t="s">
        <v>338</v>
      </c>
      <c r="I62" s="0" t="s">
        <v>339</v>
      </c>
      <c r="J62" s="0" t="s">
        <v>21</v>
      </c>
      <c r="K62" s="0" t="n">
        <v>0</v>
      </c>
    </row>
    <row r="63" customFormat="false" ht="15" hidden="false" customHeight="false" outlineLevel="0" collapsed="false">
      <c r="A63" s="0" t="n">
        <v>44</v>
      </c>
      <c r="B63" s="0" t="s">
        <v>313</v>
      </c>
      <c r="C63" s="0" t="n">
        <v>2018</v>
      </c>
      <c r="D63" s="0" t="s">
        <v>335</v>
      </c>
      <c r="E63" s="0" t="s">
        <v>311</v>
      </c>
      <c r="F63" s="0" t="s">
        <v>336</v>
      </c>
      <c r="G63" s="0" t="s">
        <v>336</v>
      </c>
      <c r="H63" s="0" t="s">
        <v>340</v>
      </c>
      <c r="I63" s="0" t="s">
        <v>341</v>
      </c>
      <c r="J63" s="0" t="s">
        <v>324</v>
      </c>
      <c r="K63" s="0" t="n">
        <v>4</v>
      </c>
    </row>
    <row r="64" customFormat="false" ht="15" hidden="false" customHeight="false" outlineLevel="0" collapsed="false">
      <c r="A64" s="0" t="n">
        <v>45</v>
      </c>
      <c r="B64" s="0" t="s">
        <v>342</v>
      </c>
      <c r="C64" s="0" t="n">
        <v>2019</v>
      </c>
      <c r="D64" s="0" t="s">
        <v>343</v>
      </c>
      <c r="E64" s="0" t="s">
        <v>311</v>
      </c>
      <c r="F64" s="0" t="s">
        <v>344</v>
      </c>
      <c r="G64" s="0" t="s">
        <v>345</v>
      </c>
      <c r="H64" s="0" t="s">
        <v>346</v>
      </c>
      <c r="I64" s="0" t="s">
        <v>347</v>
      </c>
      <c r="J64" s="0" t="s">
        <v>42</v>
      </c>
      <c r="K64" s="0" t="n">
        <v>0</v>
      </c>
    </row>
    <row r="65" customFormat="false" ht="15" hidden="false" customHeight="false" outlineLevel="0" collapsed="false">
      <c r="A65" s="0" t="n">
        <v>45</v>
      </c>
      <c r="B65" s="0" t="s">
        <v>313</v>
      </c>
      <c r="C65" s="0" t="n">
        <v>2019</v>
      </c>
      <c r="D65" s="0" t="s">
        <v>343</v>
      </c>
      <c r="E65" s="0" t="s">
        <v>311</v>
      </c>
      <c r="F65" s="0" t="s">
        <v>348</v>
      </c>
      <c r="G65" s="0" t="s">
        <v>349</v>
      </c>
      <c r="H65" s="0" t="s">
        <v>350</v>
      </c>
      <c r="I65" s="0" t="s">
        <v>349</v>
      </c>
      <c r="J65" s="0" t="s">
        <v>21</v>
      </c>
      <c r="K65" s="0" t="n">
        <v>0</v>
      </c>
    </row>
    <row r="66" customFormat="false" ht="15" hidden="false" customHeight="false" outlineLevel="0" collapsed="false">
      <c r="A66" s="0" t="n">
        <v>46</v>
      </c>
      <c r="B66" s="0" t="s">
        <v>68</v>
      </c>
      <c r="C66" s="0" t="n">
        <v>2017</v>
      </c>
      <c r="D66" s="0" t="s">
        <v>48</v>
      </c>
      <c r="E66" s="0" t="s">
        <v>311</v>
      </c>
      <c r="F66" s="0" t="s">
        <v>70</v>
      </c>
      <c r="G66" s="0" t="s">
        <v>71</v>
      </c>
      <c r="H66" s="0" t="s">
        <v>72</v>
      </c>
      <c r="I66" s="0" t="s">
        <v>351</v>
      </c>
      <c r="J66" s="0" t="s">
        <v>42</v>
      </c>
      <c r="K66" s="0" t="n">
        <v>0</v>
      </c>
    </row>
    <row r="67" customFormat="false" ht="15" hidden="false" customHeight="false" outlineLevel="0" collapsed="false">
      <c r="A67" s="0" t="n">
        <v>47</v>
      </c>
      <c r="B67" s="0" t="s">
        <v>37</v>
      </c>
      <c r="C67" s="0" t="n">
        <v>2020</v>
      </c>
      <c r="D67" s="0" t="s">
        <v>36</v>
      </c>
      <c r="E67" s="0" t="s">
        <v>311</v>
      </c>
      <c r="F67" s="0" t="s">
        <v>352</v>
      </c>
      <c r="G67" s="0" t="s">
        <v>39</v>
      </c>
      <c r="H67" s="0" t="s">
        <v>43</v>
      </c>
      <c r="I67" s="0" t="s">
        <v>353</v>
      </c>
      <c r="J67" s="0" t="s">
        <v>21</v>
      </c>
      <c r="K67" s="0" t="n">
        <v>0</v>
      </c>
    </row>
    <row r="68" customFormat="false" ht="15" hidden="false" customHeight="false" outlineLevel="0" collapsed="false">
      <c r="A68" s="0" t="n">
        <v>47</v>
      </c>
      <c r="B68" s="0" t="s">
        <v>313</v>
      </c>
      <c r="C68" s="0" t="n">
        <v>2020</v>
      </c>
      <c r="D68" s="0" t="s">
        <v>36</v>
      </c>
      <c r="E68" s="0" t="s">
        <v>311</v>
      </c>
      <c r="F68" s="0" t="s">
        <v>45</v>
      </c>
      <c r="G68" s="0" t="s">
        <v>39</v>
      </c>
      <c r="H68" s="0" t="n">
        <v>4</v>
      </c>
      <c r="I68" s="0" t="s">
        <v>47</v>
      </c>
      <c r="J68" s="0" t="s">
        <v>25</v>
      </c>
      <c r="K68" s="0" t="n">
        <v>3</v>
      </c>
    </row>
    <row r="69" customFormat="false" ht="15" hidden="false" customHeight="false" outlineLevel="0" collapsed="false">
      <c r="A69" s="0" t="n">
        <v>48</v>
      </c>
      <c r="B69" s="0" t="s">
        <v>98</v>
      </c>
      <c r="C69" s="0" t="n">
        <v>2025</v>
      </c>
      <c r="D69" s="0" t="s">
        <v>97</v>
      </c>
      <c r="E69" s="0" t="s">
        <v>311</v>
      </c>
      <c r="F69" s="0" t="s">
        <v>289</v>
      </c>
      <c r="G69" s="0" t="s">
        <v>354</v>
      </c>
      <c r="H69" s="0" t="s">
        <v>355</v>
      </c>
      <c r="I69" s="0" t="s">
        <v>42</v>
      </c>
      <c r="J69" s="0" t="s">
        <v>21</v>
      </c>
      <c r="K69" s="0" t="n">
        <v>0</v>
      </c>
    </row>
    <row r="70" customFormat="false" ht="15" hidden="false" customHeight="false" outlineLevel="0" collapsed="false">
      <c r="A70" s="0" t="n">
        <v>48</v>
      </c>
      <c r="B70" s="0" t="s">
        <v>313</v>
      </c>
      <c r="C70" s="0" t="n">
        <v>2025</v>
      </c>
      <c r="D70" s="0" t="s">
        <v>97</v>
      </c>
      <c r="E70" s="0" t="s">
        <v>311</v>
      </c>
      <c r="F70" s="0" t="s">
        <v>356</v>
      </c>
      <c r="G70" s="0" t="s">
        <v>354</v>
      </c>
      <c r="H70" s="0" t="s">
        <v>103</v>
      </c>
      <c r="I70" s="0" t="s">
        <v>357</v>
      </c>
      <c r="J70" s="0" t="s">
        <v>105</v>
      </c>
      <c r="K70" s="0" t="n">
        <v>1</v>
      </c>
    </row>
    <row r="71" customFormat="false" ht="15" hidden="false" customHeight="false" outlineLevel="0" collapsed="false">
      <c r="A71" s="0" t="n">
        <v>48</v>
      </c>
      <c r="B71" s="0" t="s">
        <v>313</v>
      </c>
      <c r="C71" s="0" t="n">
        <v>2025</v>
      </c>
      <c r="D71" s="0" t="s">
        <v>97</v>
      </c>
      <c r="E71" s="0" t="s">
        <v>311</v>
      </c>
      <c r="F71" s="0" t="s">
        <v>356</v>
      </c>
      <c r="G71" s="0" t="s">
        <v>354</v>
      </c>
      <c r="H71" s="0" t="s">
        <v>106</v>
      </c>
      <c r="I71" s="0" t="s">
        <v>358</v>
      </c>
      <c r="J71" s="0" t="s">
        <v>108</v>
      </c>
      <c r="K71" s="0" t="n">
        <v>2</v>
      </c>
    </row>
    <row r="72" customFormat="false" ht="15" hidden="false" customHeight="false" outlineLevel="0" collapsed="false">
      <c r="A72" s="0" t="n">
        <v>49</v>
      </c>
      <c r="B72" s="0" t="s">
        <v>88</v>
      </c>
      <c r="C72" s="0" t="n">
        <v>2023</v>
      </c>
      <c r="D72" s="0" t="s">
        <v>87</v>
      </c>
      <c r="E72" s="0" t="s">
        <v>311</v>
      </c>
      <c r="F72" s="0" t="s">
        <v>359</v>
      </c>
      <c r="G72" s="0" t="s">
        <v>91</v>
      </c>
      <c r="H72" s="0" t="n">
        <v>3.017</v>
      </c>
      <c r="I72" s="0" t="s">
        <v>93</v>
      </c>
      <c r="J72" s="0" t="s">
        <v>25</v>
      </c>
      <c r="K72" s="0" t="n">
        <v>3</v>
      </c>
    </row>
    <row r="73" customFormat="false" ht="15" hidden="false" customHeight="false" outlineLevel="0" collapsed="false">
      <c r="A73" s="0" t="n">
        <v>49</v>
      </c>
      <c r="B73" s="0" t="s">
        <v>313</v>
      </c>
      <c r="C73" s="0" t="n">
        <v>2023</v>
      </c>
      <c r="D73" s="0" t="s">
        <v>87</v>
      </c>
      <c r="E73" s="0" t="s">
        <v>311</v>
      </c>
      <c r="F73" s="0" t="s">
        <v>359</v>
      </c>
      <c r="G73" s="0" t="s">
        <v>91</v>
      </c>
      <c r="H73" s="0" t="n">
        <v>5.909</v>
      </c>
      <c r="I73" s="0" t="s">
        <v>96</v>
      </c>
      <c r="J73" s="0" t="s">
        <v>28</v>
      </c>
      <c r="K73" s="0" t="n">
        <v>4</v>
      </c>
    </row>
    <row r="74" customFormat="false" ht="15" hidden="false" customHeight="false" outlineLevel="0" collapsed="false">
      <c r="A74" s="0" t="n">
        <v>50</v>
      </c>
      <c r="B74" s="0" t="s">
        <v>303</v>
      </c>
      <c r="C74" s="0" t="n">
        <v>2020</v>
      </c>
      <c r="D74" s="0" t="s">
        <v>48</v>
      </c>
      <c r="E74" s="0" t="s">
        <v>311</v>
      </c>
      <c r="F74" s="0" t="s">
        <v>360</v>
      </c>
      <c r="G74" s="0" t="s">
        <v>128</v>
      </c>
      <c r="H74" s="0" t="n">
        <v>4.8</v>
      </c>
      <c r="I74" s="0" t="s">
        <v>42</v>
      </c>
      <c r="J74" s="0" t="s">
        <v>21</v>
      </c>
      <c r="K74" s="0" t="n">
        <v>0</v>
      </c>
    </row>
    <row r="75" customFormat="false" ht="15" hidden="false" customHeight="false" outlineLevel="0" collapsed="false">
      <c r="A75" s="0" t="n">
        <v>50</v>
      </c>
      <c r="B75" s="0" t="s">
        <v>313</v>
      </c>
      <c r="C75" s="0" t="n">
        <v>2020</v>
      </c>
      <c r="D75" s="0" t="s">
        <v>48</v>
      </c>
      <c r="E75" s="0" t="s">
        <v>311</v>
      </c>
      <c r="F75" s="0" t="s">
        <v>360</v>
      </c>
      <c r="G75" s="0" t="s">
        <v>128</v>
      </c>
      <c r="H75" s="0" t="n">
        <v>21.3</v>
      </c>
      <c r="I75" s="0" t="s">
        <v>361</v>
      </c>
      <c r="J75" s="0" t="s">
        <v>25</v>
      </c>
      <c r="K75" s="0" t="n">
        <v>3</v>
      </c>
    </row>
    <row r="76" customFormat="false" ht="15" hidden="false" customHeight="false" outlineLevel="0" collapsed="false">
      <c r="A76" s="0" t="n">
        <v>50</v>
      </c>
      <c r="B76" s="0" t="s">
        <v>313</v>
      </c>
      <c r="C76" s="0" t="n">
        <v>2020</v>
      </c>
      <c r="D76" s="0" t="s">
        <v>48</v>
      </c>
      <c r="E76" s="0" t="s">
        <v>311</v>
      </c>
      <c r="F76" s="0" t="s">
        <v>360</v>
      </c>
      <c r="G76" s="0" t="s">
        <v>128</v>
      </c>
      <c r="H76" s="0" t="n">
        <v>45.2</v>
      </c>
      <c r="I76" s="0" t="s">
        <v>362</v>
      </c>
      <c r="J76" s="0" t="s">
        <v>324</v>
      </c>
      <c r="K76" s="0" t="n">
        <v>4</v>
      </c>
    </row>
    <row r="77" customFormat="false" ht="15" hidden="false" customHeight="false" outlineLevel="0" collapsed="false">
      <c r="A77" s="0" t="n">
        <v>51</v>
      </c>
      <c r="B77" s="0" t="s">
        <v>81</v>
      </c>
      <c r="C77" s="0" t="n">
        <v>2021</v>
      </c>
      <c r="D77" s="0" t="s">
        <v>80</v>
      </c>
      <c r="E77" s="0" t="s">
        <v>311</v>
      </c>
      <c r="F77" s="0" t="s">
        <v>83</v>
      </c>
      <c r="G77" s="0" t="s">
        <v>281</v>
      </c>
      <c r="H77" s="0" t="n">
        <v>5.1</v>
      </c>
      <c r="I77" s="0" t="s">
        <v>363</v>
      </c>
      <c r="J77" s="0" t="s">
        <v>42</v>
      </c>
      <c r="K77" s="0" t="n">
        <v>0</v>
      </c>
    </row>
    <row r="78" customFormat="false" ht="15" hidden="false" customHeight="false" outlineLevel="0" collapsed="false">
      <c r="A78" s="0" t="n">
        <v>51</v>
      </c>
      <c r="B78" s="0" t="s">
        <v>313</v>
      </c>
      <c r="C78" s="0" t="n">
        <v>2021</v>
      </c>
      <c r="D78" s="0" t="s">
        <v>80</v>
      </c>
      <c r="E78" s="0" t="s">
        <v>311</v>
      </c>
      <c r="F78" s="0" t="s">
        <v>83</v>
      </c>
      <c r="G78" s="0" t="s">
        <v>281</v>
      </c>
      <c r="H78" s="0" t="n">
        <v>9.3</v>
      </c>
      <c r="I78" s="0" t="s">
        <v>364</v>
      </c>
      <c r="J78" s="0" t="s">
        <v>25</v>
      </c>
      <c r="K78" s="0" t="n">
        <v>3</v>
      </c>
    </row>
    <row r="79" customFormat="false" ht="15" hidden="false" customHeight="false" outlineLevel="0" collapsed="false">
      <c r="A79" s="0" t="n">
        <v>52</v>
      </c>
      <c r="B79" s="0" t="s">
        <v>125</v>
      </c>
      <c r="C79" s="0" t="n">
        <v>2016</v>
      </c>
      <c r="D79" s="0" t="s">
        <v>124</v>
      </c>
      <c r="E79" s="0" t="s">
        <v>311</v>
      </c>
      <c r="F79" s="0" t="s">
        <v>127</v>
      </c>
      <c r="G79" s="0" t="s">
        <v>128</v>
      </c>
      <c r="H79" s="0" t="n">
        <v>0.6</v>
      </c>
      <c r="I79" s="0" t="s">
        <v>365</v>
      </c>
      <c r="J79" s="0" t="s">
        <v>21</v>
      </c>
      <c r="K79" s="0" t="n">
        <v>0</v>
      </c>
    </row>
    <row r="80" customFormat="false" ht="15" hidden="false" customHeight="false" outlineLevel="0" collapsed="false">
      <c r="A80" s="0" t="n">
        <v>52</v>
      </c>
      <c r="B80" s="0" t="s">
        <v>313</v>
      </c>
      <c r="C80" s="0" t="n">
        <v>2016</v>
      </c>
      <c r="D80" s="0" t="s">
        <v>124</v>
      </c>
      <c r="E80" s="0" t="s">
        <v>311</v>
      </c>
      <c r="F80" s="0" t="s">
        <v>127</v>
      </c>
      <c r="G80" s="0" t="s">
        <v>128</v>
      </c>
      <c r="H80" s="0" t="n">
        <v>1.2</v>
      </c>
      <c r="I80" s="0" t="s">
        <v>366</v>
      </c>
      <c r="J80" s="0" t="s">
        <v>21</v>
      </c>
      <c r="K80" s="0" t="n">
        <v>0</v>
      </c>
    </row>
    <row r="81" customFormat="false" ht="15" hidden="false" customHeight="false" outlineLevel="0" collapsed="false">
      <c r="A81" s="0" t="n">
        <v>52</v>
      </c>
      <c r="B81" s="0" t="s">
        <v>313</v>
      </c>
      <c r="C81" s="0" t="n">
        <v>2016</v>
      </c>
      <c r="D81" s="0" t="s">
        <v>124</v>
      </c>
      <c r="E81" s="0" t="s">
        <v>311</v>
      </c>
      <c r="F81" s="0" t="s">
        <v>127</v>
      </c>
      <c r="G81" s="0" t="s">
        <v>128</v>
      </c>
      <c r="H81" s="0" t="n">
        <v>4.6</v>
      </c>
      <c r="I81" s="0" t="s">
        <v>367</v>
      </c>
      <c r="J81" s="0" t="s">
        <v>25</v>
      </c>
      <c r="K81" s="0" t="n">
        <v>3</v>
      </c>
    </row>
    <row r="82" customFormat="false" ht="15" hidden="false" customHeight="false" outlineLevel="0" collapsed="false">
      <c r="A82" s="0" t="n">
        <v>53</v>
      </c>
      <c r="B82" s="0" t="s">
        <v>132</v>
      </c>
      <c r="C82" s="0" t="n">
        <v>2012</v>
      </c>
      <c r="D82" s="0" t="s">
        <v>131</v>
      </c>
      <c r="E82" s="0" t="s">
        <v>311</v>
      </c>
      <c r="F82" s="0" t="s">
        <v>134</v>
      </c>
      <c r="G82" s="0" t="s">
        <v>135</v>
      </c>
      <c r="H82" s="0" t="s">
        <v>368</v>
      </c>
      <c r="I82" s="0" t="s">
        <v>369</v>
      </c>
      <c r="J82" s="0" t="s">
        <v>21</v>
      </c>
      <c r="K82" s="0" t="n">
        <v>0</v>
      </c>
    </row>
    <row r="83" customFormat="false" ht="15" hidden="false" customHeight="false" outlineLevel="0" collapsed="false">
      <c r="A83" s="0" t="n">
        <v>54</v>
      </c>
      <c r="B83" s="0" t="s">
        <v>370</v>
      </c>
      <c r="C83" s="0" t="n">
        <v>2010</v>
      </c>
      <c r="D83" s="0" t="s">
        <v>371</v>
      </c>
      <c r="E83" s="0" t="s">
        <v>311</v>
      </c>
      <c r="F83" s="0" t="s">
        <v>372</v>
      </c>
      <c r="G83" s="0" t="s">
        <v>113</v>
      </c>
      <c r="H83" s="0" t="n">
        <v>0.7</v>
      </c>
      <c r="I83" s="0" t="s">
        <v>337</v>
      </c>
      <c r="J83" s="0" t="s">
        <v>21</v>
      </c>
      <c r="K83" s="0" t="n">
        <v>0</v>
      </c>
    </row>
    <row r="84" customFormat="false" ht="15" hidden="false" customHeight="false" outlineLevel="0" collapsed="false">
      <c r="A84" s="0" t="n">
        <v>54</v>
      </c>
      <c r="B84" s="0" t="s">
        <v>313</v>
      </c>
      <c r="C84" s="0" t="n">
        <v>2010</v>
      </c>
      <c r="D84" s="0" t="s">
        <v>371</v>
      </c>
      <c r="E84" s="0" t="s">
        <v>311</v>
      </c>
      <c r="F84" s="0" t="s">
        <v>372</v>
      </c>
      <c r="G84" s="0" t="s">
        <v>113</v>
      </c>
      <c r="H84" s="0" t="n">
        <v>2.3</v>
      </c>
      <c r="I84" s="0" t="s">
        <v>56</v>
      </c>
      <c r="J84" s="0" t="s">
        <v>21</v>
      </c>
      <c r="K84" s="0" t="n">
        <v>0</v>
      </c>
    </row>
    <row r="85" customFormat="false" ht="15" hidden="false" customHeight="false" outlineLevel="0" collapsed="false">
      <c r="A85" s="0" t="n">
        <v>54</v>
      </c>
      <c r="B85" s="0" t="s">
        <v>313</v>
      </c>
      <c r="C85" s="0" t="n">
        <v>2010</v>
      </c>
      <c r="D85" s="0" t="s">
        <v>371</v>
      </c>
      <c r="E85" s="0" t="s">
        <v>311</v>
      </c>
      <c r="F85" s="0" t="s">
        <v>372</v>
      </c>
      <c r="G85" s="0" t="s">
        <v>113</v>
      </c>
      <c r="H85" s="0" t="n">
        <v>3.2</v>
      </c>
      <c r="I85" s="0" t="s">
        <v>367</v>
      </c>
      <c r="J85" s="0" t="s">
        <v>373</v>
      </c>
      <c r="K85" s="0" t="n">
        <v>0</v>
      </c>
    </row>
    <row r="86" customFormat="false" ht="15" hidden="false" customHeight="false" outlineLevel="0" collapsed="false">
      <c r="A86" s="0" t="n">
        <v>55</v>
      </c>
      <c r="B86" s="0" t="s">
        <v>75</v>
      </c>
      <c r="C86" s="0" t="n">
        <v>2020</v>
      </c>
      <c r="D86" s="0" t="s">
        <v>74</v>
      </c>
      <c r="E86" s="0" t="s">
        <v>311</v>
      </c>
      <c r="F86" s="0" t="s">
        <v>77</v>
      </c>
      <c r="G86" s="0" t="s">
        <v>278</v>
      </c>
      <c r="H86" s="0" t="n">
        <v>0.018</v>
      </c>
      <c r="I86" s="0" t="s">
        <v>374</v>
      </c>
      <c r="J86" s="0" t="s">
        <v>42</v>
      </c>
      <c r="K86" s="0" t="n">
        <v>0</v>
      </c>
    </row>
    <row r="87" customFormat="false" ht="15" hidden="false" customHeight="false" outlineLevel="0" collapsed="false">
      <c r="A87" s="0" t="n">
        <v>55</v>
      </c>
      <c r="B87" s="0" t="s">
        <v>313</v>
      </c>
      <c r="C87" s="0" t="n">
        <v>2020</v>
      </c>
      <c r="D87" s="0" t="s">
        <v>74</v>
      </c>
      <c r="E87" s="0" t="s">
        <v>311</v>
      </c>
      <c r="F87" s="0" t="s">
        <v>77</v>
      </c>
      <c r="G87" s="0" t="s">
        <v>278</v>
      </c>
      <c r="H87" s="0" t="n">
        <v>0.038</v>
      </c>
      <c r="I87" s="0" t="s">
        <v>374</v>
      </c>
      <c r="J87" s="0" t="s">
        <v>42</v>
      </c>
      <c r="K87" s="0" t="n">
        <v>0</v>
      </c>
    </row>
    <row r="88" customFormat="false" ht="15" hidden="false" customHeight="false" outlineLevel="0" collapsed="false">
      <c r="A88" s="0" t="n">
        <v>55</v>
      </c>
      <c r="B88" s="0" t="s">
        <v>313</v>
      </c>
      <c r="C88" s="0" t="n">
        <v>2020</v>
      </c>
      <c r="D88" s="0" t="s">
        <v>74</v>
      </c>
      <c r="E88" s="0" t="s">
        <v>311</v>
      </c>
      <c r="F88" s="0" t="s">
        <v>77</v>
      </c>
      <c r="G88" s="0" t="s">
        <v>278</v>
      </c>
      <c r="H88" s="0" t="n">
        <v>0.083</v>
      </c>
      <c r="I88" s="0" t="s">
        <v>337</v>
      </c>
      <c r="J88" s="0" t="s">
        <v>42</v>
      </c>
      <c r="K88" s="0" t="n">
        <v>0</v>
      </c>
    </row>
    <row r="89" customFormat="false" ht="15" hidden="false" customHeight="false" outlineLevel="0" collapsed="false">
      <c r="A89" s="0" t="n">
        <v>56</v>
      </c>
      <c r="B89" s="0" t="s">
        <v>49</v>
      </c>
      <c r="C89" s="0" t="n">
        <v>2015</v>
      </c>
      <c r="D89" s="0" t="s">
        <v>48</v>
      </c>
      <c r="E89" s="0" t="s">
        <v>311</v>
      </c>
      <c r="F89" s="0" t="s">
        <v>51</v>
      </c>
      <c r="G89" s="0" t="s">
        <v>52</v>
      </c>
      <c r="H89" s="0" t="n">
        <v>0.13</v>
      </c>
      <c r="I89" s="0" t="s">
        <v>374</v>
      </c>
      <c r="J89" s="0" t="s">
        <v>42</v>
      </c>
      <c r="K89" s="0" t="n">
        <v>0</v>
      </c>
    </row>
    <row r="90" customFormat="false" ht="15" hidden="false" customHeight="false" outlineLevel="0" collapsed="false">
      <c r="A90" s="0" t="n">
        <v>56</v>
      </c>
      <c r="B90" s="0" t="s">
        <v>313</v>
      </c>
      <c r="C90" s="0" t="n">
        <v>2015</v>
      </c>
      <c r="D90" s="0" t="s">
        <v>48</v>
      </c>
      <c r="E90" s="0" t="s">
        <v>311</v>
      </c>
      <c r="F90" s="0" t="s">
        <v>51</v>
      </c>
      <c r="G90" s="0" t="s">
        <v>52</v>
      </c>
      <c r="H90" s="0" t="n">
        <v>1.87</v>
      </c>
      <c r="I90" s="0" t="s">
        <v>56</v>
      </c>
      <c r="J90" s="0" t="s">
        <v>42</v>
      </c>
      <c r="K90" s="0" t="n">
        <v>0</v>
      </c>
    </row>
    <row r="91" customFormat="false" ht="15" hidden="false" customHeight="false" outlineLevel="0" collapsed="false">
      <c r="A91" s="0" t="n">
        <v>56</v>
      </c>
      <c r="B91" s="0" t="s">
        <v>313</v>
      </c>
      <c r="C91" s="0" t="n">
        <v>2015</v>
      </c>
      <c r="D91" s="0" t="s">
        <v>48</v>
      </c>
      <c r="E91" s="0" t="s">
        <v>311</v>
      </c>
      <c r="F91" s="0" t="s">
        <v>51</v>
      </c>
      <c r="G91" s="0" t="s">
        <v>52</v>
      </c>
      <c r="H91" s="0" t="n">
        <v>5.72</v>
      </c>
      <c r="I91" s="0" t="s">
        <v>375</v>
      </c>
      <c r="J91" s="0" t="s">
        <v>25</v>
      </c>
      <c r="K91" s="0" t="n">
        <v>3</v>
      </c>
    </row>
    <row r="92" customFormat="false" ht="15" hidden="false" customHeight="false" outlineLevel="0" collapsed="false">
      <c r="A92" s="0" t="n">
        <v>57</v>
      </c>
      <c r="B92" s="0" t="s">
        <v>61</v>
      </c>
      <c r="C92" s="0" t="n">
        <v>2016</v>
      </c>
      <c r="D92" s="0" t="s">
        <v>60</v>
      </c>
      <c r="E92" s="0" t="s">
        <v>311</v>
      </c>
      <c r="F92" s="0" t="s">
        <v>376</v>
      </c>
      <c r="G92" s="0" t="s">
        <v>64</v>
      </c>
      <c r="H92" s="0" t="s">
        <v>65</v>
      </c>
      <c r="I92" s="0" t="s">
        <v>66</v>
      </c>
      <c r="J92" s="0" t="s">
        <v>25</v>
      </c>
      <c r="K92" s="0" t="n">
        <v>3</v>
      </c>
    </row>
    <row r="93" customFormat="false" ht="15" hidden="false" customHeight="false" outlineLevel="0" collapsed="false">
      <c r="A93" s="0" t="n">
        <v>58</v>
      </c>
      <c r="B93" s="0" t="s">
        <v>165</v>
      </c>
      <c r="C93" s="0" t="n">
        <v>2012</v>
      </c>
      <c r="D93" s="0" t="s">
        <v>164</v>
      </c>
      <c r="E93" s="0" t="s">
        <v>311</v>
      </c>
      <c r="F93" s="0" t="s">
        <v>377</v>
      </c>
      <c r="G93" s="0" t="s">
        <v>168</v>
      </c>
      <c r="H93" s="0" t="s">
        <v>378</v>
      </c>
      <c r="I93" s="0" t="s">
        <v>379</v>
      </c>
      <c r="J93" s="0" t="s">
        <v>171</v>
      </c>
    </row>
    <row r="94" customFormat="false" ht="15" hidden="false" customHeight="false" outlineLevel="0" collapsed="false">
      <c r="A94" s="0" t="n">
        <v>59</v>
      </c>
      <c r="B94" s="0" t="s">
        <v>173</v>
      </c>
      <c r="C94" s="0" t="n">
        <v>2026</v>
      </c>
      <c r="D94" s="0" t="s">
        <v>172</v>
      </c>
      <c r="E94" s="0" t="s">
        <v>380</v>
      </c>
      <c r="F94" s="0" t="s">
        <v>176</v>
      </c>
      <c r="G94" s="0" t="s">
        <v>177</v>
      </c>
      <c r="H94" s="0" t="s">
        <v>178</v>
      </c>
      <c r="I94" s="0" t="s">
        <v>179</v>
      </c>
      <c r="J94" s="0" t="s">
        <v>21</v>
      </c>
      <c r="K94" s="0" t="n">
        <v>0</v>
      </c>
    </row>
    <row r="95" customFormat="false" ht="15" hidden="false" customHeight="false" outlineLevel="0" collapsed="false">
      <c r="A95" s="0" t="n">
        <v>59</v>
      </c>
      <c r="B95" s="0" t="s">
        <v>313</v>
      </c>
      <c r="C95" s="0" t="n">
        <v>2026</v>
      </c>
      <c r="D95" s="0" t="s">
        <v>172</v>
      </c>
      <c r="E95" s="0" t="s">
        <v>380</v>
      </c>
      <c r="F95" s="0" t="s">
        <v>176</v>
      </c>
      <c r="G95" s="0" t="s">
        <v>177</v>
      </c>
      <c r="H95" s="0" t="s">
        <v>180</v>
      </c>
      <c r="I95" s="0" t="s">
        <v>181</v>
      </c>
      <c r="J95" s="0" t="s">
        <v>25</v>
      </c>
      <c r="K95" s="0" t="n">
        <v>3</v>
      </c>
    </row>
    <row r="96" customFormat="false" ht="15" hidden="false" customHeight="false" outlineLevel="0" collapsed="false">
      <c r="A96" s="0" t="n">
        <v>60</v>
      </c>
      <c r="B96" s="0" t="s">
        <v>381</v>
      </c>
      <c r="C96" s="0" t="n">
        <v>2026</v>
      </c>
      <c r="D96" s="0" t="s">
        <v>382</v>
      </c>
      <c r="E96" s="0" t="s">
        <v>311</v>
      </c>
      <c r="F96" s="0" t="s">
        <v>383</v>
      </c>
      <c r="G96" s="0" t="s">
        <v>84</v>
      </c>
      <c r="H96" s="0" t="s">
        <v>384</v>
      </c>
      <c r="I96" s="0" t="s">
        <v>385</v>
      </c>
      <c r="J96" s="0" t="s">
        <v>25</v>
      </c>
      <c r="K96" s="0" t="n">
        <v>3</v>
      </c>
    </row>
    <row r="97" customFormat="false" ht="15" hidden="false" customHeight="false" outlineLevel="0" collapsed="false">
      <c r="A97" s="0" t="n">
        <v>61</v>
      </c>
      <c r="B97" s="0" t="s">
        <v>386</v>
      </c>
      <c r="C97" s="0" t="n">
        <v>2013</v>
      </c>
      <c r="D97" s="0" t="s">
        <v>387</v>
      </c>
      <c r="E97" s="0" t="s">
        <v>311</v>
      </c>
      <c r="F97" s="0" t="s">
        <v>388</v>
      </c>
      <c r="G97" s="0" t="s">
        <v>389</v>
      </c>
      <c r="H97" s="0" t="s">
        <v>390</v>
      </c>
      <c r="I97" s="0" t="s">
        <v>391</v>
      </c>
      <c r="J97" s="0" t="s">
        <v>25</v>
      </c>
      <c r="K97" s="0" t="n">
        <v>3</v>
      </c>
    </row>
    <row r="98" customFormat="false" ht="15" hidden="false" customHeight="false" outlineLevel="0" collapsed="false">
      <c r="A98" s="0" t="n">
        <v>62</v>
      </c>
      <c r="B98" s="0" t="s">
        <v>392</v>
      </c>
      <c r="C98" s="0" t="n">
        <v>2016</v>
      </c>
      <c r="D98" s="0" t="s">
        <v>60</v>
      </c>
      <c r="E98" s="0" t="s">
        <v>311</v>
      </c>
      <c r="F98" s="0" t="s">
        <v>63</v>
      </c>
      <c r="G98" s="0" t="s">
        <v>64</v>
      </c>
      <c r="H98" s="0" t="s">
        <v>393</v>
      </c>
      <c r="I98" s="0" t="s">
        <v>394</v>
      </c>
      <c r="J98" s="0" t="s">
        <v>25</v>
      </c>
      <c r="K98" s="0" t="n">
        <v>3</v>
      </c>
    </row>
    <row r="99" customFormat="false" ht="15" hidden="false" customHeight="false" outlineLevel="0" collapsed="false">
      <c r="A99" s="0" t="n">
        <v>63</v>
      </c>
      <c r="B99" s="0" t="s">
        <v>37</v>
      </c>
      <c r="C99" s="0" t="n">
        <v>2020</v>
      </c>
      <c r="D99" s="0" t="s">
        <v>36</v>
      </c>
      <c r="E99" s="0" t="s">
        <v>311</v>
      </c>
      <c r="F99" s="0" t="s">
        <v>38</v>
      </c>
      <c r="G99" s="0" t="s">
        <v>39</v>
      </c>
      <c r="H99" s="0" t="s">
        <v>274</v>
      </c>
      <c r="I99" s="0" t="s">
        <v>395</v>
      </c>
      <c r="J99" s="0" t="s">
        <v>25</v>
      </c>
      <c r="K99" s="0" t="n">
        <v>3</v>
      </c>
    </row>
    <row r="100" customFormat="false" ht="15" hidden="false" customHeight="false" outlineLevel="0" collapsed="false">
      <c r="A100" s="0" t="n">
        <v>64</v>
      </c>
      <c r="B100" s="0" t="s">
        <v>68</v>
      </c>
      <c r="C100" s="0" t="n">
        <v>2017</v>
      </c>
      <c r="D100" s="0" t="s">
        <v>48</v>
      </c>
      <c r="E100" s="0" t="s">
        <v>311</v>
      </c>
      <c r="F100" s="0" t="s">
        <v>70</v>
      </c>
      <c r="G100" s="0" t="s">
        <v>71</v>
      </c>
      <c r="H100" s="0" t="s">
        <v>72</v>
      </c>
      <c r="I100" s="0" t="s">
        <v>396</v>
      </c>
      <c r="J100" s="0" t="s">
        <v>397</v>
      </c>
    </row>
    <row r="101" customFormat="false" ht="15" hidden="false" customHeight="false" outlineLevel="0" collapsed="false">
      <c r="A101" s="0" t="n">
        <v>65</v>
      </c>
      <c r="B101" s="0" t="s">
        <v>75</v>
      </c>
      <c r="C101" s="0" t="n">
        <v>2020</v>
      </c>
      <c r="D101" s="0" t="s">
        <v>74</v>
      </c>
      <c r="E101" s="0" t="s">
        <v>311</v>
      </c>
      <c r="F101" s="0" t="s">
        <v>77</v>
      </c>
      <c r="G101" s="0" t="s">
        <v>278</v>
      </c>
      <c r="H101" s="0" t="s">
        <v>398</v>
      </c>
      <c r="I101" s="0" t="s">
        <v>399</v>
      </c>
      <c r="J101" s="0" t="s">
        <v>21</v>
      </c>
      <c r="K101" s="0" t="n">
        <v>0</v>
      </c>
    </row>
    <row r="102" customFormat="false" ht="15" hidden="false" customHeight="false" outlineLevel="0" collapsed="false">
      <c r="A102" s="0" t="n">
        <v>66</v>
      </c>
      <c r="B102" s="0" t="s">
        <v>81</v>
      </c>
      <c r="C102" s="0" t="n">
        <v>2021</v>
      </c>
      <c r="D102" s="0" t="s">
        <v>80</v>
      </c>
      <c r="E102" s="0" t="s">
        <v>311</v>
      </c>
      <c r="F102" s="0" t="s">
        <v>83</v>
      </c>
      <c r="G102" s="0" t="s">
        <v>281</v>
      </c>
      <c r="H102" s="0" t="s">
        <v>400</v>
      </c>
      <c r="I102" s="0" t="s">
        <v>401</v>
      </c>
      <c r="J102" s="0" t="s">
        <v>21</v>
      </c>
      <c r="K102" s="0" t="n">
        <v>0</v>
      </c>
    </row>
    <row r="103" customFormat="false" ht="15" hidden="false" customHeight="false" outlineLevel="0" collapsed="false">
      <c r="A103" s="0" t="n">
        <v>67</v>
      </c>
      <c r="B103" s="0" t="s">
        <v>81</v>
      </c>
      <c r="C103" s="0" t="n">
        <v>2021</v>
      </c>
      <c r="D103" s="0" t="s">
        <v>80</v>
      </c>
      <c r="E103" s="0" t="s">
        <v>311</v>
      </c>
      <c r="F103" s="0" t="s">
        <v>402</v>
      </c>
      <c r="G103" s="0" t="s">
        <v>281</v>
      </c>
      <c r="H103" s="0" t="s">
        <v>403</v>
      </c>
      <c r="I103" s="0" t="s">
        <v>404</v>
      </c>
      <c r="J103" s="0" t="s">
        <v>397</v>
      </c>
    </row>
    <row r="104" customFormat="false" ht="15" hidden="false" customHeight="false" outlineLevel="0" collapsed="false">
      <c r="A104" s="0" t="n">
        <v>68</v>
      </c>
      <c r="B104" s="0" t="s">
        <v>334</v>
      </c>
      <c r="C104" s="0" t="n">
        <v>2018</v>
      </c>
      <c r="D104" s="0" t="s">
        <v>335</v>
      </c>
      <c r="E104" s="0" t="s">
        <v>311</v>
      </c>
      <c r="F104" s="0" t="s">
        <v>336</v>
      </c>
      <c r="G104" s="0" t="s">
        <v>168</v>
      </c>
      <c r="H104" s="0" t="s">
        <v>405</v>
      </c>
      <c r="I104" s="0" t="s">
        <v>406</v>
      </c>
      <c r="J104" s="0" t="s">
        <v>28</v>
      </c>
      <c r="K104" s="0" t="n">
        <v>4</v>
      </c>
    </row>
    <row r="105" customFormat="false" ht="15" hidden="false" customHeight="false" outlineLevel="0" collapsed="false">
      <c r="A105" s="0" t="n">
        <v>69</v>
      </c>
      <c r="B105" s="0" t="s">
        <v>407</v>
      </c>
      <c r="C105" s="0" t="n">
        <v>2024</v>
      </c>
      <c r="D105" s="0" t="s">
        <v>408</v>
      </c>
      <c r="E105" s="0" t="s">
        <v>311</v>
      </c>
      <c r="F105" s="0" t="s">
        <v>409</v>
      </c>
      <c r="G105" s="0" t="s">
        <v>84</v>
      </c>
      <c r="H105" s="0" t="s">
        <v>410</v>
      </c>
      <c r="I105" s="0" t="s">
        <v>411</v>
      </c>
      <c r="J105" s="0" t="s">
        <v>25</v>
      </c>
      <c r="K105" s="0" t="n">
        <v>3</v>
      </c>
    </row>
    <row r="106" customFormat="false" ht="15" hidden="false" customHeight="false" outlineLevel="0" collapsed="false">
      <c r="A106" s="0" t="n">
        <v>70</v>
      </c>
      <c r="B106" s="0" t="s">
        <v>30</v>
      </c>
      <c r="C106" s="0" t="n">
        <v>2020</v>
      </c>
      <c r="D106" s="0" t="s">
        <v>29</v>
      </c>
      <c r="E106" s="0" t="s">
        <v>311</v>
      </c>
      <c r="F106" s="0" t="s">
        <v>412</v>
      </c>
      <c r="G106" s="0" t="s">
        <v>33</v>
      </c>
      <c r="H106" s="0" t="s">
        <v>413</v>
      </c>
      <c r="I106" s="0" t="s">
        <v>35</v>
      </c>
      <c r="J106" s="0" t="s">
        <v>21</v>
      </c>
      <c r="K106" s="0" t="n">
        <v>0</v>
      </c>
    </row>
    <row r="107" customFormat="false" ht="15" hidden="false" customHeight="false" outlineLevel="0" collapsed="false">
      <c r="A107" s="0" t="n">
        <v>71</v>
      </c>
      <c r="B107" s="0" t="s">
        <v>14</v>
      </c>
      <c r="C107" s="0" t="n">
        <v>2020</v>
      </c>
      <c r="D107" s="0" t="s">
        <v>13</v>
      </c>
      <c r="E107" s="0" t="s">
        <v>311</v>
      </c>
      <c r="F107" s="0" t="s">
        <v>414</v>
      </c>
      <c r="G107" s="0" t="s">
        <v>18</v>
      </c>
      <c r="H107" s="0" t="s">
        <v>415</v>
      </c>
      <c r="I107" s="0" t="s">
        <v>416</v>
      </c>
      <c r="J107" s="0" t="s">
        <v>28</v>
      </c>
      <c r="K107" s="0" t="n">
        <v>4</v>
      </c>
    </row>
    <row r="108" customFormat="false" ht="15" hidden="false" customHeight="false" outlineLevel="0" collapsed="false">
      <c r="A108" s="0" t="n">
        <v>72</v>
      </c>
      <c r="B108" s="0" t="s">
        <v>125</v>
      </c>
      <c r="C108" s="0" t="n">
        <v>2016</v>
      </c>
      <c r="D108" s="0" t="s">
        <v>124</v>
      </c>
      <c r="E108" s="0" t="s">
        <v>311</v>
      </c>
      <c r="F108" s="0" t="s">
        <v>127</v>
      </c>
      <c r="G108" s="0" t="s">
        <v>128</v>
      </c>
      <c r="H108" s="0" t="s">
        <v>129</v>
      </c>
      <c r="I108" s="0" t="s">
        <v>130</v>
      </c>
      <c r="J108" s="0" t="s">
        <v>21</v>
      </c>
      <c r="K108" s="0" t="n">
        <v>0</v>
      </c>
    </row>
    <row r="109" customFormat="false" ht="15" hidden="false" customHeight="false" outlineLevel="0" collapsed="false">
      <c r="A109" s="0" t="n">
        <v>73</v>
      </c>
      <c r="B109" s="0" t="s">
        <v>132</v>
      </c>
      <c r="C109" s="0" t="n">
        <v>2012</v>
      </c>
      <c r="D109" s="0" t="s">
        <v>131</v>
      </c>
      <c r="E109" s="0" t="s">
        <v>311</v>
      </c>
      <c r="F109" s="0" t="s">
        <v>134</v>
      </c>
      <c r="G109" s="0" t="s">
        <v>135</v>
      </c>
      <c r="H109" s="0" t="s">
        <v>368</v>
      </c>
      <c r="I109" s="0" t="s">
        <v>417</v>
      </c>
      <c r="J109" s="0" t="s">
        <v>21</v>
      </c>
      <c r="K109" s="0" t="n">
        <v>0</v>
      </c>
    </row>
    <row r="110" customFormat="false" ht="15" hidden="false" customHeight="false" outlineLevel="0" collapsed="false">
      <c r="A110" s="0" t="n">
        <v>74</v>
      </c>
      <c r="B110" s="0" t="s">
        <v>49</v>
      </c>
      <c r="C110" s="0" t="n">
        <v>2015</v>
      </c>
      <c r="D110" s="0" t="s">
        <v>48</v>
      </c>
      <c r="E110" s="0" t="s">
        <v>311</v>
      </c>
      <c r="F110" s="0" t="s">
        <v>51</v>
      </c>
      <c r="G110" s="0" t="s">
        <v>418</v>
      </c>
      <c r="H110" s="0" t="s">
        <v>419</v>
      </c>
      <c r="I110" s="0" t="s">
        <v>420</v>
      </c>
      <c r="J110" s="0" t="s">
        <v>397</v>
      </c>
    </row>
    <row r="111" customFormat="false" ht="15" hidden="false" customHeight="false" outlineLevel="0" collapsed="false">
      <c r="A111" s="0" t="n">
        <v>75</v>
      </c>
      <c r="B111" s="0" t="s">
        <v>61</v>
      </c>
      <c r="C111" s="0" t="n">
        <v>2016</v>
      </c>
      <c r="D111" s="0" t="s">
        <v>60</v>
      </c>
      <c r="E111" s="0" t="s">
        <v>311</v>
      </c>
      <c r="F111" s="0" t="s">
        <v>376</v>
      </c>
      <c r="G111" s="0" t="s">
        <v>64</v>
      </c>
      <c r="H111" s="0" t="s">
        <v>65</v>
      </c>
      <c r="I111" s="0" t="s">
        <v>421</v>
      </c>
      <c r="J111" s="0" t="s">
        <v>25</v>
      </c>
      <c r="K111" s="0" t="n">
        <v>3</v>
      </c>
    </row>
    <row r="112" customFormat="false" ht="15" hidden="false" customHeight="false" outlineLevel="0" collapsed="false">
      <c r="A112" s="0" t="n">
        <v>76</v>
      </c>
      <c r="B112" s="0" t="s">
        <v>88</v>
      </c>
      <c r="C112" s="0" t="n">
        <v>2023</v>
      </c>
      <c r="D112" s="0" t="s">
        <v>87</v>
      </c>
      <c r="E112" s="0" t="s">
        <v>311</v>
      </c>
      <c r="F112" s="0" t="s">
        <v>359</v>
      </c>
      <c r="G112" s="0" t="s">
        <v>91</v>
      </c>
      <c r="H112" s="0" t="s">
        <v>422</v>
      </c>
      <c r="I112" s="0" t="s">
        <v>423</v>
      </c>
      <c r="J112" s="0" t="s">
        <v>28</v>
      </c>
      <c r="K112" s="0" t="n">
        <v>4</v>
      </c>
    </row>
    <row r="113" customFormat="false" ht="15" hidden="false" customHeight="false" outlineLevel="0" collapsed="false">
      <c r="A113" s="0" t="n">
        <v>77</v>
      </c>
      <c r="B113" s="0" t="s">
        <v>98</v>
      </c>
      <c r="C113" s="0" t="n">
        <v>2025</v>
      </c>
      <c r="D113" s="0" t="s">
        <v>97</v>
      </c>
      <c r="E113" s="0" t="s">
        <v>311</v>
      </c>
      <c r="F113" s="0" t="s">
        <v>289</v>
      </c>
      <c r="G113" s="0" t="s">
        <v>354</v>
      </c>
      <c r="H113" s="0" t="s">
        <v>424</v>
      </c>
      <c r="I113" s="0" t="s">
        <v>425</v>
      </c>
      <c r="J113" s="0" t="s">
        <v>108</v>
      </c>
      <c r="K113" s="0" t="n">
        <v>2</v>
      </c>
    </row>
    <row r="114" customFormat="false" ht="15" hidden="false" customHeight="false" outlineLevel="0" collapsed="false">
      <c r="A114" s="0" t="n">
        <v>78</v>
      </c>
      <c r="B114" s="0" t="s">
        <v>407</v>
      </c>
      <c r="C114" s="0" t="n">
        <v>2024</v>
      </c>
      <c r="D114" s="0" t="s">
        <v>408</v>
      </c>
      <c r="E114" s="0" t="s">
        <v>311</v>
      </c>
      <c r="F114" s="0" t="s">
        <v>426</v>
      </c>
      <c r="G114" s="0" t="s">
        <v>84</v>
      </c>
      <c r="H114" s="0" t="s">
        <v>410</v>
      </c>
      <c r="I114" s="0" t="s">
        <v>427</v>
      </c>
      <c r="J114" s="0" t="s">
        <v>25</v>
      </c>
      <c r="K114" s="0" t="n">
        <v>3</v>
      </c>
    </row>
    <row r="115" customFormat="false" ht="15" hidden="false" customHeight="false" outlineLevel="0" collapsed="false">
      <c r="A115" s="0" t="n">
        <v>79</v>
      </c>
      <c r="B115" s="0" t="s">
        <v>428</v>
      </c>
      <c r="C115" s="0" t="n">
        <v>2024</v>
      </c>
      <c r="D115" s="0" t="s">
        <v>429</v>
      </c>
      <c r="E115" s="0" t="s">
        <v>311</v>
      </c>
      <c r="F115" s="0" t="s">
        <v>430</v>
      </c>
      <c r="G115" s="0" t="s">
        <v>431</v>
      </c>
      <c r="H115" s="0" t="s">
        <v>432</v>
      </c>
      <c r="I115" s="0" t="s">
        <v>433</v>
      </c>
      <c r="J115" s="0" t="s">
        <v>25</v>
      </c>
      <c r="K115" s="0" t="n">
        <v>3</v>
      </c>
    </row>
    <row r="116" customFormat="false" ht="15" hidden="false" customHeight="false" outlineLevel="0" collapsed="false">
      <c r="A116" s="0" t="n">
        <v>80</v>
      </c>
      <c r="B116" s="0" t="s">
        <v>334</v>
      </c>
      <c r="C116" s="0" t="n">
        <v>2018</v>
      </c>
      <c r="D116" s="0" t="s">
        <v>335</v>
      </c>
      <c r="E116" s="0" t="s">
        <v>311</v>
      </c>
      <c r="F116" s="0" t="s">
        <v>434</v>
      </c>
      <c r="G116" s="0" t="s">
        <v>435</v>
      </c>
      <c r="H116" s="0" t="s">
        <v>405</v>
      </c>
      <c r="I116" s="0" t="s">
        <v>436</v>
      </c>
      <c r="J116" s="0" t="s">
        <v>397</v>
      </c>
    </row>
    <row r="117" customFormat="false" ht="15" hidden="false" customHeight="false" outlineLevel="0" collapsed="false">
      <c r="A117" s="0" t="n">
        <v>81</v>
      </c>
      <c r="B117" s="0" t="s">
        <v>191</v>
      </c>
      <c r="C117" s="0" t="n">
        <v>2019</v>
      </c>
      <c r="D117" s="0" t="s">
        <v>190</v>
      </c>
      <c r="E117" s="0" t="s">
        <v>437</v>
      </c>
      <c r="F117" s="0" t="s">
        <v>438</v>
      </c>
      <c r="G117" s="0" t="s">
        <v>64</v>
      </c>
      <c r="H117" s="0" t="s">
        <v>195</v>
      </c>
      <c r="I117" s="0" t="s">
        <v>439</v>
      </c>
      <c r="J117" s="0" t="s">
        <v>25</v>
      </c>
      <c r="K117" s="0" t="n">
        <v>3</v>
      </c>
    </row>
    <row r="118" customFormat="false" ht="15" hidden="false" customHeight="false" outlineLevel="0" collapsed="false">
      <c r="A118" s="0" t="n">
        <v>82</v>
      </c>
      <c r="B118" s="0" t="s">
        <v>440</v>
      </c>
      <c r="C118" s="0" t="n">
        <v>2022</v>
      </c>
      <c r="D118" s="0" t="s">
        <v>190</v>
      </c>
      <c r="E118" s="0" t="s">
        <v>437</v>
      </c>
      <c r="F118" s="0" t="s">
        <v>438</v>
      </c>
      <c r="G118" s="0" t="s">
        <v>64</v>
      </c>
      <c r="H118" s="0" t="s">
        <v>195</v>
      </c>
      <c r="I118" s="0" t="s">
        <v>441</v>
      </c>
      <c r="J118" s="0" t="s">
        <v>25</v>
      </c>
      <c r="K118" s="0" t="n">
        <v>3</v>
      </c>
    </row>
    <row r="119" customFormat="false" ht="15" hidden="false" customHeight="false" outlineLevel="0" collapsed="false">
      <c r="A119" s="0" t="n">
        <v>83</v>
      </c>
      <c r="B119" s="0" t="s">
        <v>442</v>
      </c>
      <c r="C119" s="0" t="n">
        <v>2021</v>
      </c>
      <c r="D119" s="0" t="s">
        <v>97</v>
      </c>
      <c r="E119" s="0" t="s">
        <v>437</v>
      </c>
      <c r="F119" s="0" t="s">
        <v>443</v>
      </c>
      <c r="G119" s="0" t="s">
        <v>444</v>
      </c>
      <c r="H119" s="0" t="s">
        <v>445</v>
      </c>
      <c r="I119" s="0" t="s">
        <v>446</v>
      </c>
      <c r="J119" s="0" t="s">
        <v>25</v>
      </c>
      <c r="K119" s="0" t="n">
        <v>3</v>
      </c>
    </row>
    <row r="120" customFormat="false" ht="15" hidden="false" customHeight="false" outlineLevel="0" collapsed="false">
      <c r="A120" s="0" t="n">
        <v>84</v>
      </c>
      <c r="B120" s="0" t="s">
        <v>303</v>
      </c>
      <c r="C120" s="0" t="n">
        <v>2020</v>
      </c>
      <c r="D120" s="0" t="s">
        <v>48</v>
      </c>
      <c r="E120" s="0" t="s">
        <v>311</v>
      </c>
      <c r="F120" s="0" t="s">
        <v>360</v>
      </c>
      <c r="G120" s="0" t="s">
        <v>128</v>
      </c>
      <c r="H120" s="0" t="s">
        <v>447</v>
      </c>
      <c r="I120" s="0" t="s">
        <v>448</v>
      </c>
      <c r="J120" s="0" t="s">
        <v>25</v>
      </c>
      <c r="K120" s="0" t="n">
        <v>3</v>
      </c>
    </row>
    <row r="121" customFormat="false" ht="15" hidden="false" customHeight="false" outlineLevel="0" collapsed="false">
      <c r="A121" s="0" t="n">
        <v>85</v>
      </c>
      <c r="B121" s="0" t="s">
        <v>265</v>
      </c>
      <c r="C121" s="0" t="n">
        <v>2024</v>
      </c>
      <c r="D121" s="0" t="s">
        <v>172</v>
      </c>
      <c r="E121" s="0" t="s">
        <v>437</v>
      </c>
      <c r="F121" s="0" t="s">
        <v>449</v>
      </c>
      <c r="G121" s="0" t="s">
        <v>269</v>
      </c>
      <c r="H121" s="0" t="s">
        <v>450</v>
      </c>
      <c r="I121" s="0" t="s">
        <v>451</v>
      </c>
      <c r="J121" s="0" t="s">
        <v>25</v>
      </c>
      <c r="K121" s="0" t="n">
        <v>3</v>
      </c>
    </row>
    <row r="122" customFormat="false" ht="15" hidden="false" customHeight="false" outlineLevel="0" collapsed="false">
      <c r="A122" s="0" t="n">
        <v>86</v>
      </c>
      <c r="B122" s="0" t="s">
        <v>452</v>
      </c>
      <c r="C122" s="0" t="n">
        <v>2024</v>
      </c>
      <c r="D122" s="0" t="s">
        <v>453</v>
      </c>
      <c r="E122" s="0" t="s">
        <v>311</v>
      </c>
      <c r="F122" s="0" t="s">
        <v>454</v>
      </c>
      <c r="G122" s="0" t="s">
        <v>455</v>
      </c>
      <c r="H122" s="0" t="s">
        <v>456</v>
      </c>
      <c r="I122" s="0" t="s">
        <v>56</v>
      </c>
      <c r="J122" s="0" t="s">
        <v>21</v>
      </c>
      <c r="K122" s="0" t="n">
        <v>0</v>
      </c>
    </row>
    <row r="123" customFormat="false" ht="15" hidden="false" customHeight="false" outlineLevel="0" collapsed="false">
      <c r="A123" s="0" t="n">
        <v>87</v>
      </c>
      <c r="B123" s="0" t="s">
        <v>457</v>
      </c>
      <c r="C123" s="0" t="n">
        <v>2026</v>
      </c>
      <c r="D123" s="0" t="s">
        <v>458</v>
      </c>
      <c r="E123" s="0" t="s">
        <v>311</v>
      </c>
      <c r="F123" s="0" t="s">
        <v>459</v>
      </c>
      <c r="G123" s="0" t="s">
        <v>84</v>
      </c>
      <c r="H123" s="0" t="s">
        <v>460</v>
      </c>
      <c r="I123" s="0" t="s">
        <v>461</v>
      </c>
      <c r="J123" s="0" t="s">
        <v>21</v>
      </c>
      <c r="K123" s="0" t="n">
        <v>0</v>
      </c>
    </row>
    <row r="124" customFormat="false" ht="15" hidden="false" customHeight="false" outlineLevel="0" collapsed="false">
      <c r="A124" s="0" t="n">
        <v>88</v>
      </c>
      <c r="B124" s="0" t="s">
        <v>462</v>
      </c>
      <c r="C124" s="0" t="n">
        <v>2024</v>
      </c>
      <c r="D124" s="0" t="s">
        <v>463</v>
      </c>
      <c r="E124" s="0" t="s">
        <v>311</v>
      </c>
      <c r="F124" s="0" t="s">
        <v>464</v>
      </c>
      <c r="G124" s="0" t="s">
        <v>465</v>
      </c>
      <c r="H124" s="0" t="s">
        <v>466</v>
      </c>
      <c r="I124" s="0" t="s">
        <v>467</v>
      </c>
      <c r="J124" s="0" t="s">
        <v>397</v>
      </c>
    </row>
    <row r="125" customFormat="false" ht="15" hidden="false" customHeight="false" outlineLevel="0" collapsed="false">
      <c r="A125" s="0" t="n">
        <v>89</v>
      </c>
      <c r="B125" s="0" t="s">
        <v>468</v>
      </c>
      <c r="C125" s="0" t="n">
        <v>2025</v>
      </c>
      <c r="D125" s="0" t="s">
        <v>469</v>
      </c>
      <c r="E125" s="0" t="s">
        <v>470</v>
      </c>
      <c r="F125" s="0" t="s">
        <v>471</v>
      </c>
      <c r="G125" s="0" t="s">
        <v>472</v>
      </c>
      <c r="H125" s="0" t="s">
        <v>473</v>
      </c>
      <c r="I125" s="0" t="s">
        <v>474</v>
      </c>
      <c r="J125" s="0" t="s">
        <v>397</v>
      </c>
    </row>
    <row r="126" customFormat="false" ht="15" hidden="false" customHeight="false" outlineLevel="0" collapsed="false">
      <c r="A126" s="0" t="n">
        <v>90</v>
      </c>
      <c r="B126" s="0" t="s">
        <v>475</v>
      </c>
      <c r="C126" s="0" t="n">
        <v>2019</v>
      </c>
      <c r="D126" s="0" t="s">
        <v>476</v>
      </c>
      <c r="E126" s="0" t="s">
        <v>470</v>
      </c>
      <c r="F126" s="0" t="s">
        <v>471</v>
      </c>
      <c r="G126" s="0" t="s">
        <v>472</v>
      </c>
      <c r="H126" s="0" t="s">
        <v>477</v>
      </c>
      <c r="I126" s="0" t="s">
        <v>474</v>
      </c>
      <c r="J126" s="0" t="s">
        <v>397</v>
      </c>
    </row>
    <row r="127" customFormat="false" ht="15" hidden="false" customHeight="false" outlineLevel="0" collapsed="false">
      <c r="A127" s="0" t="n">
        <v>91</v>
      </c>
      <c r="B127" s="0" t="s">
        <v>478</v>
      </c>
      <c r="C127" s="0" t="n">
        <v>2011</v>
      </c>
      <c r="D127" s="0" t="s">
        <v>479</v>
      </c>
      <c r="E127" s="0" t="s">
        <v>311</v>
      </c>
      <c r="F127" s="0" t="s">
        <v>480</v>
      </c>
      <c r="G127" s="0" t="s">
        <v>481</v>
      </c>
      <c r="H127" s="0" t="s">
        <v>482</v>
      </c>
      <c r="I127" s="0" t="s">
        <v>483</v>
      </c>
      <c r="J127" s="0" t="s">
        <v>484</v>
      </c>
    </row>
    <row r="128" customFormat="false" ht="15" hidden="false" customHeight="false" outlineLevel="0" collapsed="false">
      <c r="A128" s="0" t="n">
        <v>92</v>
      </c>
      <c r="B128" s="0" t="s">
        <v>165</v>
      </c>
      <c r="C128" s="0" t="n">
        <v>2012</v>
      </c>
      <c r="D128" s="0" t="s">
        <v>485</v>
      </c>
      <c r="E128" s="0" t="s">
        <v>486</v>
      </c>
      <c r="F128" s="0" t="s">
        <v>487</v>
      </c>
      <c r="G128" s="0" t="s">
        <v>168</v>
      </c>
      <c r="H128" s="0" t="s">
        <v>488</v>
      </c>
      <c r="I128" s="0" t="s">
        <v>489</v>
      </c>
      <c r="J128" s="0" t="s">
        <v>490</v>
      </c>
    </row>
    <row r="129" customFormat="false" ht="15" hidden="false" customHeight="false" outlineLevel="0" collapsed="false">
      <c r="A129" s="0" t="n">
        <v>93</v>
      </c>
      <c r="B129" s="0" t="s">
        <v>491</v>
      </c>
      <c r="C129" s="0" t="n">
        <v>2016</v>
      </c>
      <c r="D129" s="0" t="s">
        <v>492</v>
      </c>
      <c r="E129" s="0" t="s">
        <v>311</v>
      </c>
      <c r="F129" s="0" t="s">
        <v>493</v>
      </c>
      <c r="G129" s="0" t="s">
        <v>494</v>
      </c>
      <c r="H129" s="0" t="n">
        <v>2.4</v>
      </c>
      <c r="I129" s="0" t="s">
        <v>495</v>
      </c>
      <c r="J129" s="0" t="s">
        <v>484</v>
      </c>
    </row>
    <row r="130" customFormat="false" ht="15" hidden="false" customHeight="false" outlineLevel="0" collapsed="false">
      <c r="A130" s="0" t="n">
        <v>94</v>
      </c>
      <c r="B130" s="0" t="s">
        <v>496</v>
      </c>
      <c r="C130" s="0" t="n">
        <v>2017</v>
      </c>
      <c r="D130" s="0" t="s">
        <v>458</v>
      </c>
      <c r="E130" s="0" t="s">
        <v>311</v>
      </c>
      <c r="F130" s="0" t="s">
        <v>497</v>
      </c>
      <c r="G130" s="0" t="s">
        <v>498</v>
      </c>
      <c r="H130" s="0" t="s">
        <v>499</v>
      </c>
      <c r="I130" s="0" t="s">
        <v>500</v>
      </c>
      <c r="J130" s="0" t="s">
        <v>484</v>
      </c>
    </row>
    <row r="131" customFormat="false" ht="15" hidden="false" customHeight="false" outlineLevel="0" collapsed="false">
      <c r="A131" s="0" t="n">
        <v>95</v>
      </c>
      <c r="B131" s="0" t="s">
        <v>501</v>
      </c>
      <c r="C131" s="0" t="n">
        <v>2018</v>
      </c>
      <c r="D131" s="0" t="s">
        <v>502</v>
      </c>
      <c r="E131" s="0" t="s">
        <v>311</v>
      </c>
      <c r="F131" s="0" t="s">
        <v>503</v>
      </c>
      <c r="G131" s="0" t="s">
        <v>504</v>
      </c>
      <c r="H131" s="0" t="s">
        <v>505</v>
      </c>
      <c r="I131" s="0" t="s">
        <v>506</v>
      </c>
      <c r="J131" s="0" t="s">
        <v>507</v>
      </c>
    </row>
    <row r="132" customFormat="false" ht="15" hidden="false" customHeight="false" outlineLevel="0" collapsed="false">
      <c r="A132" s="0" t="n">
        <v>96</v>
      </c>
      <c r="B132" s="0" t="s">
        <v>508</v>
      </c>
      <c r="C132" s="0" t="n">
        <v>2018</v>
      </c>
      <c r="D132" s="0" t="s">
        <v>509</v>
      </c>
      <c r="E132" s="0" t="s">
        <v>311</v>
      </c>
      <c r="F132" s="0" t="s">
        <v>510</v>
      </c>
      <c r="G132" s="0" t="s">
        <v>511</v>
      </c>
      <c r="H132" s="0" t="s">
        <v>512</v>
      </c>
      <c r="I132" s="0" t="s">
        <v>513</v>
      </c>
      <c r="J132" s="0" t="s">
        <v>484</v>
      </c>
    </row>
    <row r="133" customFormat="false" ht="15" hidden="false" customHeight="false" outlineLevel="0" collapsed="false">
      <c r="A133" s="0" t="n">
        <v>97</v>
      </c>
      <c r="B133" s="0" t="s">
        <v>514</v>
      </c>
      <c r="C133" s="0" t="n">
        <v>2020</v>
      </c>
      <c r="D133" s="0" t="s">
        <v>515</v>
      </c>
      <c r="E133" s="0" t="s">
        <v>311</v>
      </c>
      <c r="F133" s="0" t="s">
        <v>516</v>
      </c>
      <c r="G133" s="0" t="s">
        <v>33</v>
      </c>
      <c r="H133" s="0" t="s">
        <v>517</v>
      </c>
      <c r="I133" s="0" t="s">
        <v>518</v>
      </c>
      <c r="J133" s="0" t="s">
        <v>484</v>
      </c>
      <c r="K133" s="0" t="s">
        <v>21</v>
      </c>
    </row>
    <row r="134" customFormat="false" ht="15" hidden="false" customHeight="false" outlineLevel="0" collapsed="false">
      <c r="A134" s="0" t="n">
        <v>98</v>
      </c>
      <c r="B134" s="0" t="s">
        <v>519</v>
      </c>
      <c r="C134" s="0" t="n">
        <v>2020</v>
      </c>
      <c r="D134" s="0" t="s">
        <v>520</v>
      </c>
      <c r="E134" s="0" t="s">
        <v>311</v>
      </c>
      <c r="F134" s="0" t="s">
        <v>521</v>
      </c>
      <c r="G134" s="0" t="s">
        <v>522</v>
      </c>
      <c r="H134" s="0" t="s">
        <v>523</v>
      </c>
      <c r="I134" s="0" t="s">
        <v>524</v>
      </c>
      <c r="J134" s="0" t="s">
        <v>484</v>
      </c>
      <c r="K134" s="0" t="s">
        <v>21</v>
      </c>
    </row>
    <row r="135" customFormat="false" ht="15" hidden="false" customHeight="false" outlineLevel="0" collapsed="false">
      <c r="A135" s="0" t="n">
        <v>99</v>
      </c>
      <c r="B135" s="0" t="s">
        <v>316</v>
      </c>
      <c r="C135" s="0" t="n">
        <v>2020</v>
      </c>
      <c r="D135" s="0" t="s">
        <v>525</v>
      </c>
      <c r="E135" s="0" t="s">
        <v>311</v>
      </c>
      <c r="F135" s="0" t="s">
        <v>526</v>
      </c>
      <c r="G135" s="0" t="s">
        <v>527</v>
      </c>
      <c r="H135" s="0" t="s">
        <v>528</v>
      </c>
      <c r="I135" s="0" t="s">
        <v>529</v>
      </c>
      <c r="J135" s="0" t="s">
        <v>484</v>
      </c>
      <c r="K135" s="0" t="s">
        <v>25</v>
      </c>
    </row>
    <row r="136" customFormat="false" ht="15" hidden="false" customHeight="false" outlineLevel="0" collapsed="false">
      <c r="A136" s="0" t="n">
        <v>100</v>
      </c>
      <c r="B136" s="0" t="s">
        <v>530</v>
      </c>
      <c r="C136" s="0" t="n">
        <v>2021</v>
      </c>
      <c r="D136" s="0" t="s">
        <v>531</v>
      </c>
      <c r="E136" s="0" t="s">
        <v>311</v>
      </c>
      <c r="F136" s="0" t="s">
        <v>532</v>
      </c>
      <c r="G136" s="0" t="s">
        <v>135</v>
      </c>
      <c r="H136" s="0" t="s">
        <v>23</v>
      </c>
      <c r="I136" s="0" t="s">
        <v>533</v>
      </c>
      <c r="J136" s="0" t="s">
        <v>484</v>
      </c>
    </row>
    <row r="137" customFormat="false" ht="15" hidden="false" customHeight="false" outlineLevel="0" collapsed="false">
      <c r="A137" s="0" t="n">
        <v>101</v>
      </c>
      <c r="B137" s="0" t="s">
        <v>534</v>
      </c>
      <c r="C137" s="0" t="n">
        <v>2022</v>
      </c>
      <c r="D137" s="0" t="s">
        <v>535</v>
      </c>
      <c r="E137" s="0" t="s">
        <v>311</v>
      </c>
      <c r="F137" s="0" t="s">
        <v>536</v>
      </c>
      <c r="G137" s="0" t="s">
        <v>537</v>
      </c>
      <c r="H137" s="0" t="s">
        <v>538</v>
      </c>
      <c r="I137" s="0" t="s">
        <v>539</v>
      </c>
      <c r="J137" s="0" t="s">
        <v>484</v>
      </c>
    </row>
    <row r="138" customFormat="false" ht="15" hidden="false" customHeight="false" outlineLevel="0" collapsed="false">
      <c r="A138" s="0" t="n">
        <v>102</v>
      </c>
      <c r="B138" s="0" t="s">
        <v>237</v>
      </c>
      <c r="C138" s="0" t="n">
        <v>2022</v>
      </c>
      <c r="D138" s="0" t="s">
        <v>236</v>
      </c>
      <c r="E138" s="0" t="s">
        <v>311</v>
      </c>
      <c r="F138" s="0" t="s">
        <v>540</v>
      </c>
      <c r="G138" s="0" t="s">
        <v>39</v>
      </c>
      <c r="H138" s="0" t="s">
        <v>240</v>
      </c>
      <c r="I138" s="0" t="s">
        <v>541</v>
      </c>
      <c r="J138" s="0" t="s">
        <v>484</v>
      </c>
    </row>
    <row r="139" customFormat="false" ht="15" hidden="false" customHeight="false" outlineLevel="0" collapsed="false">
      <c r="A139" s="0" t="n">
        <v>103</v>
      </c>
      <c r="B139" s="0" t="s">
        <v>542</v>
      </c>
      <c r="C139" s="0" t="n">
        <v>2022</v>
      </c>
      <c r="D139" s="0" t="s">
        <v>543</v>
      </c>
      <c r="E139" s="0" t="s">
        <v>311</v>
      </c>
      <c r="F139" s="0" t="s">
        <v>544</v>
      </c>
      <c r="G139" s="0" t="s">
        <v>545</v>
      </c>
      <c r="H139" s="0" t="s">
        <v>546</v>
      </c>
      <c r="I139" s="0" t="s">
        <v>547</v>
      </c>
      <c r="J139" s="0" t="s">
        <v>507</v>
      </c>
    </row>
    <row r="140" customFormat="false" ht="15" hidden="false" customHeight="false" outlineLevel="0" collapsed="false">
      <c r="A140" s="0" t="n">
        <v>104</v>
      </c>
      <c r="B140" s="0" t="s">
        <v>548</v>
      </c>
      <c r="C140" s="0" t="n">
        <v>2024</v>
      </c>
      <c r="D140" s="0" t="s">
        <v>549</v>
      </c>
      <c r="E140" s="0" t="s">
        <v>311</v>
      </c>
      <c r="F140" s="0" t="s">
        <v>550</v>
      </c>
      <c r="G140" s="0" t="s">
        <v>551</v>
      </c>
      <c r="H140" s="0" t="s">
        <v>456</v>
      </c>
      <c r="I140" s="0" t="s">
        <v>552</v>
      </c>
      <c r="J140" s="0" t="s">
        <v>484</v>
      </c>
      <c r="K140" s="0" t="s">
        <v>21</v>
      </c>
    </row>
    <row r="141" customFormat="false" ht="15" hidden="false" customHeight="false" outlineLevel="0" collapsed="false">
      <c r="A141" s="0" t="n">
        <v>105</v>
      </c>
      <c r="B141" s="0" t="s">
        <v>428</v>
      </c>
      <c r="C141" s="0" t="n">
        <v>2024</v>
      </c>
      <c r="D141" s="0" t="s">
        <v>429</v>
      </c>
      <c r="E141" s="0" t="s">
        <v>311</v>
      </c>
      <c r="F141" s="0" t="s">
        <v>553</v>
      </c>
      <c r="G141" s="0" t="s">
        <v>431</v>
      </c>
      <c r="H141" s="0" t="s">
        <v>432</v>
      </c>
      <c r="I141" s="0" t="s">
        <v>554</v>
      </c>
      <c r="J141" s="0" t="s">
        <v>484</v>
      </c>
      <c r="K141" s="0" t="s">
        <v>25</v>
      </c>
    </row>
    <row r="142" customFormat="false" ht="15" hidden="false" customHeight="false" outlineLevel="0" collapsed="false">
      <c r="A142" s="0" t="n">
        <v>106</v>
      </c>
      <c r="B142" s="0" t="s">
        <v>98</v>
      </c>
      <c r="C142" s="0" t="n">
        <v>2025</v>
      </c>
      <c r="D142" s="0" t="s">
        <v>97</v>
      </c>
      <c r="E142" s="0" t="s">
        <v>311</v>
      </c>
      <c r="F142" s="0" t="s">
        <v>289</v>
      </c>
      <c r="G142" s="0" t="s">
        <v>555</v>
      </c>
      <c r="H142" s="0" t="s">
        <v>556</v>
      </c>
      <c r="I142" s="0" t="s">
        <v>557</v>
      </c>
      <c r="J142" s="0" t="s">
        <v>484</v>
      </c>
      <c r="K142" s="0" t="s">
        <v>105</v>
      </c>
    </row>
    <row r="143" customFormat="false" ht="15" hidden="false" customHeight="false" outlineLevel="0" collapsed="false">
      <c r="A143" s="0" t="n">
        <v>107</v>
      </c>
      <c r="B143" s="0" t="s">
        <v>259</v>
      </c>
      <c r="C143" s="0" t="n">
        <v>2026</v>
      </c>
      <c r="D143" s="0" t="s">
        <v>158</v>
      </c>
      <c r="E143" s="0" t="s">
        <v>311</v>
      </c>
      <c r="F143" s="0" t="s">
        <v>558</v>
      </c>
      <c r="G143" s="0" t="s">
        <v>559</v>
      </c>
      <c r="H143" s="0" t="s">
        <v>560</v>
      </c>
      <c r="I143" s="0" t="s">
        <v>561</v>
      </c>
      <c r="J143" s="0" t="s">
        <v>484</v>
      </c>
      <c r="K143" s="0" t="s">
        <v>21</v>
      </c>
    </row>
    <row r="144" customFormat="false" ht="15" hidden="false" customHeight="false" outlineLevel="0" collapsed="false">
      <c r="A144" s="0" t="n">
        <v>108</v>
      </c>
      <c r="B144" s="0" t="s">
        <v>252</v>
      </c>
      <c r="C144" s="0" t="n">
        <v>2026</v>
      </c>
      <c r="D144" s="0" t="s">
        <v>562</v>
      </c>
      <c r="E144" s="0" t="s">
        <v>311</v>
      </c>
      <c r="F144" s="0" t="s">
        <v>563</v>
      </c>
      <c r="G144" s="0" t="s">
        <v>564</v>
      </c>
      <c r="H144" s="0" t="s">
        <v>565</v>
      </c>
      <c r="I144" s="0" t="s">
        <v>566</v>
      </c>
      <c r="J144" s="0" t="s">
        <v>484</v>
      </c>
    </row>
    <row r="145" customFormat="false" ht="15" hidden="false" customHeight="false" outlineLevel="0" collapsed="false">
      <c r="A145" s="0" t="n">
        <v>109</v>
      </c>
      <c r="B145" s="0" t="s">
        <v>567</v>
      </c>
      <c r="C145" s="0" t="n">
        <v>2026</v>
      </c>
      <c r="D145" s="0" t="s">
        <v>568</v>
      </c>
      <c r="E145" s="0" t="s">
        <v>311</v>
      </c>
      <c r="F145" s="0" t="s">
        <v>569</v>
      </c>
      <c r="G145" s="0" t="s">
        <v>570</v>
      </c>
      <c r="H145" s="0" t="s">
        <v>571</v>
      </c>
      <c r="I145" s="0" t="s">
        <v>572</v>
      </c>
      <c r="J145" s="0" t="s">
        <v>484</v>
      </c>
    </row>
    <row r="146" customFormat="false" ht="15" hidden="false" customHeight="false" outlineLevel="0" collapsed="false">
      <c r="A146" s="0" t="n">
        <v>110</v>
      </c>
      <c r="B146" s="0" t="s">
        <v>573</v>
      </c>
      <c r="C146" s="0" t="n">
        <v>2025</v>
      </c>
      <c r="D146" s="0" t="s">
        <v>574</v>
      </c>
      <c r="E146" s="0" t="s">
        <v>311</v>
      </c>
      <c r="F146" s="0" t="s">
        <v>575</v>
      </c>
      <c r="G146" s="0" t="s">
        <v>576</v>
      </c>
      <c r="H146" s="0" t="s">
        <v>577</v>
      </c>
      <c r="I146" s="0" t="s">
        <v>578</v>
      </c>
      <c r="J146" s="0" t="s">
        <v>484</v>
      </c>
    </row>
  </sheetData>
  <autoFilter ref="A1:M1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1"/>
    <col collapsed="false" customWidth="true" hidden="false" outlineLevel="0" max="3" min="3" style="0" width="10"/>
    <col collapsed="false" customWidth="true" hidden="false" outlineLevel="0" max="4" min="4" style="0" width="2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8</v>
      </c>
      <c r="E1" s="1" t="s">
        <v>10</v>
      </c>
      <c r="F1" s="1" t="s">
        <v>11</v>
      </c>
      <c r="G1" s="1" t="s">
        <v>12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n">
        <v>2020</v>
      </c>
      <c r="D2" s="0" t="s">
        <v>19</v>
      </c>
      <c r="E2" s="0" t="s">
        <v>21</v>
      </c>
      <c r="F2" s="0" t="n">
        <v>0</v>
      </c>
      <c r="G2" s="0" t="s">
        <v>19</v>
      </c>
    </row>
    <row r="3" customFormat="false" ht="15" hidden="false" customHeight="false" outlineLevel="0" collapsed="false">
      <c r="A3" s="0" t="n">
        <v>1</v>
      </c>
      <c r="B3" s="0" t="s">
        <v>13</v>
      </c>
      <c r="C3" s="0" t="n">
        <v>2020</v>
      </c>
      <c r="D3" s="0" t="s">
        <v>23</v>
      </c>
      <c r="E3" s="0" t="s">
        <v>25</v>
      </c>
      <c r="F3" s="0" t="n">
        <v>3</v>
      </c>
      <c r="G3" s="0" t="s">
        <v>23</v>
      </c>
    </row>
    <row r="4" customFormat="false" ht="15" hidden="false" customHeight="false" outlineLevel="0" collapsed="false">
      <c r="A4" s="0" t="n">
        <v>1</v>
      </c>
      <c r="B4" s="0" t="s">
        <v>13</v>
      </c>
      <c r="C4" s="0" t="n">
        <v>2020</v>
      </c>
      <c r="D4" s="0" t="s">
        <v>26</v>
      </c>
      <c r="E4" s="0" t="s">
        <v>28</v>
      </c>
      <c r="F4" s="0" t="n">
        <v>4</v>
      </c>
      <c r="G4" s="0" t="s">
        <v>26</v>
      </c>
    </row>
    <row r="5" customFormat="false" ht="15" hidden="false" customHeight="false" outlineLevel="0" collapsed="false">
      <c r="A5" s="0" t="n">
        <v>2</v>
      </c>
      <c r="B5" s="0" t="s">
        <v>29</v>
      </c>
      <c r="C5" s="0" t="n">
        <v>2020</v>
      </c>
      <c r="D5" s="0" t="s">
        <v>34</v>
      </c>
      <c r="E5" s="0" t="s">
        <v>21</v>
      </c>
      <c r="F5" s="0" t="n">
        <v>0</v>
      </c>
      <c r="G5" s="0" t="s">
        <v>34</v>
      </c>
    </row>
    <row r="6" customFormat="false" ht="15" hidden="false" customHeight="false" outlineLevel="0" collapsed="false">
      <c r="A6" s="0" t="n">
        <v>3</v>
      </c>
      <c r="B6" s="0" t="s">
        <v>36</v>
      </c>
      <c r="C6" s="0" t="n">
        <v>2020</v>
      </c>
      <c r="D6" s="0" t="s">
        <v>40</v>
      </c>
      <c r="E6" s="0" t="s">
        <v>42</v>
      </c>
      <c r="F6" s="0" t="n">
        <v>0</v>
      </c>
      <c r="G6" s="0" t="s">
        <v>40</v>
      </c>
    </row>
    <row r="7" customFormat="false" ht="15" hidden="false" customHeight="false" outlineLevel="0" collapsed="false">
      <c r="A7" s="0" t="n">
        <v>3</v>
      </c>
      <c r="B7" s="0" t="s">
        <v>36</v>
      </c>
      <c r="C7" s="0" t="n">
        <v>2020</v>
      </c>
      <c r="D7" s="0" t="s">
        <v>43</v>
      </c>
      <c r="E7" s="0" t="s">
        <v>21</v>
      </c>
      <c r="F7" s="0" t="n">
        <v>0</v>
      </c>
      <c r="G7" s="0" t="s">
        <v>43</v>
      </c>
    </row>
    <row r="8" customFormat="false" ht="15" hidden="false" customHeight="false" outlineLevel="0" collapsed="false">
      <c r="A8" s="0" t="n">
        <v>3</v>
      </c>
      <c r="B8" s="0" t="s">
        <v>36</v>
      </c>
      <c r="C8" s="0" t="n">
        <v>2020</v>
      </c>
      <c r="D8" s="0" t="s">
        <v>46</v>
      </c>
      <c r="E8" s="0" t="s">
        <v>25</v>
      </c>
      <c r="F8" s="0" t="n">
        <v>3</v>
      </c>
      <c r="G8" s="0" t="s">
        <v>46</v>
      </c>
    </row>
    <row r="9" customFormat="false" ht="15" hidden="false" customHeight="false" outlineLevel="0" collapsed="false">
      <c r="A9" s="0" t="n">
        <v>4</v>
      </c>
      <c r="B9" s="0" t="s">
        <v>48</v>
      </c>
      <c r="C9" s="0" t="n">
        <v>2015</v>
      </c>
      <c r="D9" s="0" t="s">
        <v>53</v>
      </c>
      <c r="E9" s="0" t="s">
        <v>42</v>
      </c>
      <c r="F9" s="0" t="n">
        <v>0</v>
      </c>
      <c r="G9" s="0" t="s">
        <v>53</v>
      </c>
    </row>
    <row r="10" customFormat="false" ht="15" hidden="false" customHeight="false" outlineLevel="0" collapsed="false">
      <c r="A10" s="0" t="n">
        <v>4</v>
      </c>
      <c r="B10" s="0" t="s">
        <v>48</v>
      </c>
      <c r="C10" s="0" t="n">
        <v>2015</v>
      </c>
      <c r="D10" s="0" t="s">
        <v>55</v>
      </c>
      <c r="E10" s="0" t="s">
        <v>42</v>
      </c>
      <c r="F10" s="0" t="n">
        <v>0</v>
      </c>
      <c r="G10" s="0" t="s">
        <v>55</v>
      </c>
    </row>
    <row r="11" customFormat="false" ht="15" hidden="false" customHeight="false" outlineLevel="0" collapsed="false">
      <c r="A11" s="0" t="n">
        <v>4</v>
      </c>
      <c r="B11" s="0" t="s">
        <v>48</v>
      </c>
      <c r="C11" s="0" t="n">
        <v>2015</v>
      </c>
      <c r="D11" s="0" t="s">
        <v>57</v>
      </c>
      <c r="E11" s="0" t="s">
        <v>59</v>
      </c>
      <c r="F11" s="0" t="n">
        <v>3</v>
      </c>
      <c r="G11" s="0" t="s">
        <v>57</v>
      </c>
    </row>
    <row r="12" customFormat="false" ht="15" hidden="false" customHeight="false" outlineLevel="0" collapsed="false">
      <c r="A12" s="0" t="n">
        <v>5</v>
      </c>
      <c r="B12" s="0" t="s">
        <v>60</v>
      </c>
      <c r="C12" s="0" t="n">
        <v>2016</v>
      </c>
      <c r="D12" s="0" t="s">
        <v>65</v>
      </c>
      <c r="E12" s="0" t="s">
        <v>67</v>
      </c>
      <c r="F12" s="0" t="n">
        <v>3</v>
      </c>
      <c r="G12" s="0" t="s">
        <v>65</v>
      </c>
    </row>
    <row r="13" customFormat="false" ht="15" hidden="false" customHeight="false" outlineLevel="0" collapsed="false">
      <c r="A13" s="0" t="n">
        <v>6</v>
      </c>
      <c r="B13" s="0" t="s">
        <v>48</v>
      </c>
      <c r="C13" s="0" t="n">
        <v>2017</v>
      </c>
      <c r="D13" s="0" t="s">
        <v>72</v>
      </c>
      <c r="E13" s="0" t="s">
        <v>42</v>
      </c>
      <c r="F13" s="0" t="n">
        <v>0</v>
      </c>
      <c r="G13" s="0" t="s">
        <v>72</v>
      </c>
    </row>
    <row r="14" customFormat="false" ht="15" hidden="false" customHeight="false" outlineLevel="0" collapsed="false">
      <c r="A14" s="0" t="n">
        <v>7</v>
      </c>
      <c r="B14" s="0" t="s">
        <v>74</v>
      </c>
      <c r="C14" s="0" t="n">
        <v>2020</v>
      </c>
      <c r="D14" s="0" t="s">
        <v>78</v>
      </c>
      <c r="E14" s="0" t="s">
        <v>42</v>
      </c>
      <c r="F14" s="0" t="n">
        <v>0</v>
      </c>
      <c r="G14" s="0" t="s">
        <v>78</v>
      </c>
    </row>
    <row r="15" customFormat="false" ht="15" hidden="false" customHeight="false" outlineLevel="0" collapsed="false">
      <c r="A15" s="0" t="n">
        <v>8</v>
      </c>
      <c r="B15" s="0" t="s">
        <v>80</v>
      </c>
      <c r="C15" s="0" t="n">
        <v>2021</v>
      </c>
      <c r="D15" s="0" t="s">
        <v>85</v>
      </c>
      <c r="E15" s="0" t="s">
        <v>59</v>
      </c>
      <c r="F15" s="0" t="n">
        <v>3</v>
      </c>
      <c r="G15" s="0" t="s">
        <v>85</v>
      </c>
    </row>
    <row r="16" customFormat="false" ht="15" hidden="false" customHeight="false" outlineLevel="0" collapsed="false">
      <c r="A16" s="0" t="n">
        <v>9</v>
      </c>
      <c r="B16" s="0" t="s">
        <v>87</v>
      </c>
      <c r="C16" s="0" t="n">
        <v>2023</v>
      </c>
      <c r="D16" s="0" t="s">
        <v>92</v>
      </c>
      <c r="E16" s="0" t="s">
        <v>94</v>
      </c>
      <c r="F16" s="0" t="n">
        <v>3</v>
      </c>
      <c r="G16" s="0" t="s">
        <v>92</v>
      </c>
    </row>
    <row r="17" customFormat="false" ht="15" hidden="false" customHeight="false" outlineLevel="0" collapsed="false">
      <c r="A17" s="0" t="n">
        <v>9</v>
      </c>
      <c r="B17" s="0" t="s">
        <v>87</v>
      </c>
      <c r="C17" s="0" t="n">
        <v>2023</v>
      </c>
      <c r="D17" s="0" t="s">
        <v>95</v>
      </c>
      <c r="E17" s="0" t="s">
        <v>28</v>
      </c>
      <c r="F17" s="0" t="n">
        <v>4</v>
      </c>
      <c r="G17" s="0" t="s">
        <v>95</v>
      </c>
    </row>
    <row r="18" customFormat="false" ht="15" hidden="false" customHeight="false" outlineLevel="0" collapsed="false">
      <c r="A18" s="0" t="n">
        <v>10</v>
      </c>
      <c r="B18" s="0" t="s">
        <v>97</v>
      </c>
      <c r="C18" s="0" t="n">
        <v>2025</v>
      </c>
      <c r="D18" s="0" t="s">
        <v>102</v>
      </c>
      <c r="E18" s="0" t="s">
        <v>21</v>
      </c>
      <c r="F18" s="0" t="n">
        <v>0</v>
      </c>
      <c r="G18" s="0" t="s">
        <v>102</v>
      </c>
    </row>
    <row r="19" customFormat="false" ht="15" hidden="false" customHeight="false" outlineLevel="0" collapsed="false">
      <c r="A19" s="0" t="n">
        <v>10</v>
      </c>
      <c r="B19" s="0" t="s">
        <v>97</v>
      </c>
      <c r="C19" s="0" t="n">
        <v>2025</v>
      </c>
      <c r="D19" s="0" t="s">
        <v>103</v>
      </c>
      <c r="E19" s="0" t="s">
        <v>105</v>
      </c>
      <c r="F19" s="0" t="n">
        <v>1</v>
      </c>
      <c r="G19" s="0" t="s">
        <v>103</v>
      </c>
    </row>
    <row r="20" customFormat="false" ht="15" hidden="false" customHeight="false" outlineLevel="0" collapsed="false">
      <c r="A20" s="0" t="n">
        <v>10</v>
      </c>
      <c r="B20" s="0" t="s">
        <v>97</v>
      </c>
      <c r="C20" s="0" t="n">
        <v>2025</v>
      </c>
      <c r="D20" s="0" t="s">
        <v>106</v>
      </c>
      <c r="E20" s="0" t="s">
        <v>108</v>
      </c>
      <c r="F20" s="0" t="n">
        <v>2</v>
      </c>
      <c r="G20" s="0" t="s">
        <v>106</v>
      </c>
    </row>
    <row r="21" customFormat="false" ht="15" hidden="false" customHeight="false" outlineLevel="0" collapsed="false">
      <c r="A21" s="0" t="n">
        <v>11</v>
      </c>
      <c r="B21" s="0" t="s">
        <v>109</v>
      </c>
      <c r="C21" s="0" t="n">
        <v>2010</v>
      </c>
      <c r="D21" s="0" t="s">
        <v>114</v>
      </c>
      <c r="E21" s="0" t="s">
        <v>21</v>
      </c>
      <c r="F21" s="0" t="n">
        <v>0</v>
      </c>
      <c r="G21" s="0" t="s">
        <v>114</v>
      </c>
    </row>
    <row r="22" customFormat="false" ht="15" hidden="false" customHeight="false" outlineLevel="0" collapsed="false">
      <c r="A22" s="0" t="n">
        <v>13</v>
      </c>
      <c r="B22" s="0" t="s">
        <v>124</v>
      </c>
      <c r="C22" s="0" t="n">
        <v>2016</v>
      </c>
      <c r="D22" s="0" t="s">
        <v>129</v>
      </c>
      <c r="E22" s="0" t="s">
        <v>42</v>
      </c>
      <c r="F22" s="0" t="n">
        <v>0</v>
      </c>
      <c r="G22" s="0" t="s">
        <v>129</v>
      </c>
    </row>
    <row r="23" customFormat="false" ht="15" hidden="false" customHeight="false" outlineLevel="0" collapsed="false">
      <c r="A23" s="0" t="n">
        <v>19</v>
      </c>
      <c r="B23" s="0" t="s">
        <v>172</v>
      </c>
      <c r="C23" s="0" t="n">
        <v>2026</v>
      </c>
      <c r="D23" s="0" t="s">
        <v>178</v>
      </c>
      <c r="E23" s="0" t="s">
        <v>21</v>
      </c>
      <c r="F23" s="0" t="n">
        <v>0</v>
      </c>
      <c r="G23" s="0" t="s">
        <v>178</v>
      </c>
    </row>
    <row r="24" customFormat="false" ht="15" hidden="false" customHeight="false" outlineLevel="0" collapsed="false">
      <c r="A24" s="0" t="n">
        <v>19</v>
      </c>
      <c r="B24" s="0" t="s">
        <v>172</v>
      </c>
      <c r="C24" s="0" t="n">
        <v>2026</v>
      </c>
      <c r="D24" s="0" t="s">
        <v>180</v>
      </c>
      <c r="E24" s="0" t="s">
        <v>25</v>
      </c>
      <c r="F24" s="0" t="n">
        <v>3</v>
      </c>
      <c r="G24" s="0" t="s">
        <v>180</v>
      </c>
    </row>
    <row r="25" customFormat="false" ht="15" hidden="false" customHeight="false" outlineLevel="0" collapsed="false">
      <c r="A25" s="0" t="n">
        <v>20</v>
      </c>
      <c r="B25" s="0" t="s">
        <v>182</v>
      </c>
      <c r="C25" s="0" t="n">
        <v>2023</v>
      </c>
      <c r="D25" s="0" t="s">
        <v>188</v>
      </c>
      <c r="E25" s="0" t="s">
        <v>59</v>
      </c>
      <c r="F25" s="0" t="n">
        <v>3</v>
      </c>
      <c r="G25" s="0" t="s">
        <v>188</v>
      </c>
    </row>
  </sheetData>
  <autoFilter ref="A1:G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1"/>
    <col collapsed="false" customWidth="true" hidden="false" outlineLevel="0" max="3" min="3" style="0" width="10"/>
    <col collapsed="false" customWidth="true" hidden="false" outlineLevel="0" max="4" min="4" style="0" width="2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21"/>
    <col collapsed="false" customWidth="true" hidden="false" outlineLevel="0" max="9" min="8" style="0" width="19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45"/>
    <col collapsed="false" customWidth="true" hidden="false" outlineLevel="0" max="13" min="13" style="0" width="25"/>
    <col collapsed="false" customWidth="true" hidden="false" outlineLevel="0" max="14" min="14" style="0" width="27"/>
    <col collapsed="false" customWidth="true" hidden="false" outlineLevel="0" max="15" min="15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8</v>
      </c>
      <c r="E1" s="1" t="s">
        <v>10</v>
      </c>
      <c r="F1" s="1" t="s">
        <v>11</v>
      </c>
      <c r="G1" s="1" t="s">
        <v>12</v>
      </c>
      <c r="H1" s="1" t="s">
        <v>579</v>
      </c>
      <c r="I1" s="1" t="s">
        <v>580</v>
      </c>
      <c r="J1" s="1" t="s">
        <v>581</v>
      </c>
      <c r="K1" s="1" t="s">
        <v>582</v>
      </c>
      <c r="L1" s="1" t="s">
        <v>583</v>
      </c>
      <c r="M1" s="1" t="s">
        <v>584</v>
      </c>
      <c r="N1" s="1" t="s">
        <v>585</v>
      </c>
      <c r="O1" s="1" t="s">
        <v>586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n">
        <v>2020</v>
      </c>
      <c r="D2" s="0" t="s">
        <v>19</v>
      </c>
      <c r="E2" s="0" t="s">
        <v>21</v>
      </c>
      <c r="F2" s="0" t="n">
        <v>0</v>
      </c>
      <c r="G2" s="0" t="s">
        <v>19</v>
      </c>
      <c r="H2" s="0" t="n">
        <v>1.5</v>
      </c>
      <c r="I2" s="0" t="n">
        <v>2.5</v>
      </c>
      <c r="J2" s="0" t="n">
        <v>2</v>
      </c>
      <c r="K2" s="0" t="s">
        <v>587</v>
      </c>
      <c r="L2" s="0" t="s">
        <v>588</v>
      </c>
      <c r="M2" s="2" t="b">
        <f aca="false">TRUE()</f>
        <v>1</v>
      </c>
      <c r="N2" s="2" t="b">
        <f aca="false">TRUE()</f>
        <v>1</v>
      </c>
      <c r="O2" s="2" t="b">
        <f aca="false">FALSE()</f>
        <v>0</v>
      </c>
    </row>
    <row r="3" customFormat="false" ht="15" hidden="false" customHeight="false" outlineLevel="0" collapsed="false">
      <c r="A3" s="0" t="n">
        <v>1</v>
      </c>
      <c r="B3" s="0" t="s">
        <v>13</v>
      </c>
      <c r="C3" s="0" t="n">
        <v>2020</v>
      </c>
      <c r="D3" s="0" t="s">
        <v>23</v>
      </c>
      <c r="E3" s="0" t="s">
        <v>25</v>
      </c>
      <c r="F3" s="0" t="n">
        <v>3</v>
      </c>
      <c r="G3" s="0" t="s">
        <v>23</v>
      </c>
      <c r="H3" s="0" t="n">
        <v>4</v>
      </c>
      <c r="I3" s="0" t="n">
        <v>9</v>
      </c>
      <c r="J3" s="0" t="n">
        <v>6.5</v>
      </c>
      <c r="K3" s="0" t="s">
        <v>587</v>
      </c>
      <c r="L3" s="0" t="s">
        <v>588</v>
      </c>
      <c r="M3" s="2" t="b">
        <f aca="false">TRUE()</f>
        <v>1</v>
      </c>
      <c r="N3" s="2" t="b">
        <f aca="false">TRUE()</f>
        <v>1</v>
      </c>
      <c r="O3" s="2" t="b">
        <f aca="false">FALSE()</f>
        <v>0</v>
      </c>
    </row>
    <row r="4" customFormat="false" ht="15" hidden="false" customHeight="false" outlineLevel="0" collapsed="false">
      <c r="A4" s="0" t="n">
        <v>1</v>
      </c>
      <c r="B4" s="0" t="s">
        <v>13</v>
      </c>
      <c r="C4" s="0" t="n">
        <v>2020</v>
      </c>
      <c r="D4" s="0" t="s">
        <v>26</v>
      </c>
      <c r="E4" s="0" t="s">
        <v>28</v>
      </c>
      <c r="F4" s="0" t="n">
        <v>4</v>
      </c>
      <c r="G4" s="0" t="s">
        <v>26</v>
      </c>
      <c r="H4" s="0" t="n">
        <v>10</v>
      </c>
      <c r="I4" s="0" t="n">
        <v>20</v>
      </c>
      <c r="J4" s="0" t="n">
        <v>15</v>
      </c>
      <c r="K4" s="0" t="s">
        <v>587</v>
      </c>
      <c r="L4" s="0" t="s">
        <v>588</v>
      </c>
      <c r="M4" s="2" t="b">
        <f aca="false">TRUE()</f>
        <v>1</v>
      </c>
      <c r="N4" s="2" t="b">
        <f aca="false">TRUE()</f>
        <v>1</v>
      </c>
      <c r="O4" s="2" t="b">
        <f aca="false">FALSE()</f>
        <v>0</v>
      </c>
    </row>
    <row r="5" customFormat="false" ht="15" hidden="false" customHeight="false" outlineLevel="0" collapsed="false">
      <c r="A5" s="0" t="n">
        <v>2</v>
      </c>
      <c r="B5" s="0" t="s">
        <v>29</v>
      </c>
      <c r="C5" s="0" t="n">
        <v>2020</v>
      </c>
      <c r="D5" s="0" t="s">
        <v>34</v>
      </c>
      <c r="E5" s="0" t="s">
        <v>21</v>
      </c>
      <c r="F5" s="0" t="n">
        <v>0</v>
      </c>
      <c r="G5" s="0" t="s">
        <v>34</v>
      </c>
      <c r="H5" s="0" t="n">
        <v>2.9</v>
      </c>
      <c r="I5" s="0" t="n">
        <v>2.9</v>
      </c>
      <c r="J5" s="0" t="n">
        <v>2.9</v>
      </c>
      <c r="K5" s="0" t="s">
        <v>589</v>
      </c>
      <c r="L5" s="0" t="s">
        <v>590</v>
      </c>
      <c r="M5" s="2" t="b">
        <f aca="false">TRUE()</f>
        <v>1</v>
      </c>
      <c r="N5" s="2" t="b">
        <f aca="false">TRUE()</f>
        <v>1</v>
      </c>
      <c r="O5" s="2" t="b">
        <f aca="false">TRUE()</f>
        <v>1</v>
      </c>
    </row>
    <row r="6" customFormat="false" ht="15" hidden="false" customHeight="false" outlineLevel="0" collapsed="false">
      <c r="A6" s="0" t="n">
        <v>3</v>
      </c>
      <c r="B6" s="0" t="s">
        <v>36</v>
      </c>
      <c r="C6" s="0" t="n">
        <v>2020</v>
      </c>
      <c r="D6" s="0" t="s">
        <v>40</v>
      </c>
      <c r="E6" s="0" t="s">
        <v>42</v>
      </c>
      <c r="F6" s="0" t="n">
        <v>0</v>
      </c>
      <c r="G6" s="0" t="s">
        <v>40</v>
      </c>
      <c r="H6" s="0" t="n">
        <v>0.3</v>
      </c>
      <c r="I6" s="0" t="n">
        <v>0.3</v>
      </c>
      <c r="J6" s="0" t="n">
        <v>0.3</v>
      </c>
      <c r="K6" s="0" t="s">
        <v>591</v>
      </c>
      <c r="L6" s="0" t="s">
        <v>592</v>
      </c>
      <c r="M6" s="2" t="b">
        <f aca="false">TRUE()</f>
        <v>1</v>
      </c>
      <c r="N6" s="2" t="b">
        <f aca="false">FALSE()</f>
        <v>0</v>
      </c>
      <c r="O6" s="2" t="b">
        <f aca="false">TRUE()</f>
        <v>1</v>
      </c>
    </row>
    <row r="7" customFormat="false" ht="15" hidden="false" customHeight="false" outlineLevel="0" collapsed="false">
      <c r="A7" s="0" t="n">
        <v>3</v>
      </c>
      <c r="B7" s="0" t="s">
        <v>36</v>
      </c>
      <c r="C7" s="0" t="n">
        <v>2020</v>
      </c>
      <c r="D7" s="0" t="s">
        <v>43</v>
      </c>
      <c r="E7" s="0" t="s">
        <v>21</v>
      </c>
      <c r="F7" s="0" t="n">
        <v>0</v>
      </c>
      <c r="G7" s="0" t="s">
        <v>43</v>
      </c>
      <c r="H7" s="0" t="n">
        <v>1.3</v>
      </c>
      <c r="I7" s="0" t="n">
        <v>1.7</v>
      </c>
      <c r="J7" s="0" t="n">
        <v>1.5</v>
      </c>
      <c r="K7" s="0" t="s">
        <v>587</v>
      </c>
      <c r="L7" s="0" t="s">
        <v>588</v>
      </c>
      <c r="M7" s="2" t="b">
        <f aca="false">TRUE()</f>
        <v>1</v>
      </c>
      <c r="N7" s="2" t="b">
        <f aca="false">TRUE()</f>
        <v>1</v>
      </c>
      <c r="O7" s="2" t="b">
        <f aca="false">FALSE()</f>
        <v>0</v>
      </c>
    </row>
    <row r="8" customFormat="false" ht="15" hidden="false" customHeight="false" outlineLevel="0" collapsed="false">
      <c r="A8" s="0" t="n">
        <v>3</v>
      </c>
      <c r="B8" s="0" t="s">
        <v>36</v>
      </c>
      <c r="C8" s="0" t="n">
        <v>2020</v>
      </c>
      <c r="D8" s="0" t="s">
        <v>46</v>
      </c>
      <c r="E8" s="0" t="s">
        <v>25</v>
      </c>
      <c r="F8" s="0" t="n">
        <v>3</v>
      </c>
      <c r="G8" s="0" t="s">
        <v>46</v>
      </c>
      <c r="H8" s="0" t="n">
        <v>4</v>
      </c>
      <c r="I8" s="0" t="n">
        <v>4</v>
      </c>
      <c r="J8" s="0" t="n">
        <v>4</v>
      </c>
      <c r="K8" s="0" t="s">
        <v>591</v>
      </c>
      <c r="L8" s="0" t="s">
        <v>592</v>
      </c>
      <c r="M8" s="2" t="b">
        <f aca="false">TRUE()</f>
        <v>1</v>
      </c>
      <c r="N8" s="2" t="b">
        <f aca="false">FALSE()</f>
        <v>0</v>
      </c>
      <c r="O8" s="2" t="b">
        <f aca="false">TRUE()</f>
        <v>1</v>
      </c>
    </row>
    <row r="9" customFormat="false" ht="15" hidden="false" customHeight="false" outlineLevel="0" collapsed="false">
      <c r="A9" s="0" t="n">
        <v>4</v>
      </c>
      <c r="B9" s="0" t="s">
        <v>48</v>
      </c>
      <c r="C9" s="0" t="n">
        <v>2015</v>
      </c>
      <c r="D9" s="0" t="s">
        <v>53</v>
      </c>
      <c r="E9" s="0" t="s">
        <v>42</v>
      </c>
      <c r="F9" s="0" t="n">
        <v>0</v>
      </c>
      <c r="G9" s="0" t="s">
        <v>53</v>
      </c>
      <c r="H9" s="0" t="n">
        <v>0.13</v>
      </c>
      <c r="I9" s="0" t="n">
        <v>0.13</v>
      </c>
      <c r="J9" s="0" t="n">
        <v>0.13</v>
      </c>
      <c r="K9" s="0" t="s">
        <v>589</v>
      </c>
      <c r="L9" s="0" t="s">
        <v>590</v>
      </c>
      <c r="M9" s="2" t="b">
        <f aca="false">TRUE()</f>
        <v>1</v>
      </c>
      <c r="N9" s="2" t="b">
        <f aca="false">TRUE()</f>
        <v>1</v>
      </c>
      <c r="O9" s="2" t="b">
        <f aca="false">TRUE()</f>
        <v>1</v>
      </c>
    </row>
    <row r="10" customFormat="false" ht="15" hidden="false" customHeight="false" outlineLevel="0" collapsed="false">
      <c r="A10" s="0" t="n">
        <v>4</v>
      </c>
      <c r="B10" s="0" t="s">
        <v>48</v>
      </c>
      <c r="C10" s="0" t="n">
        <v>2015</v>
      </c>
      <c r="D10" s="0" t="s">
        <v>55</v>
      </c>
      <c r="E10" s="0" t="s">
        <v>42</v>
      </c>
      <c r="F10" s="0" t="n">
        <v>0</v>
      </c>
      <c r="G10" s="0" t="s">
        <v>55</v>
      </c>
      <c r="H10" s="0" t="n">
        <v>1.87</v>
      </c>
      <c r="I10" s="0" t="n">
        <v>1.87</v>
      </c>
      <c r="J10" s="0" t="n">
        <v>1.87</v>
      </c>
      <c r="K10" s="0" t="s">
        <v>589</v>
      </c>
      <c r="L10" s="0" t="s">
        <v>590</v>
      </c>
      <c r="M10" s="2" t="b">
        <f aca="false">TRUE()</f>
        <v>1</v>
      </c>
      <c r="N10" s="2" t="b">
        <f aca="false">TRUE()</f>
        <v>1</v>
      </c>
      <c r="O10" s="2" t="b">
        <f aca="false">TRUE()</f>
        <v>1</v>
      </c>
    </row>
    <row r="11" customFormat="false" ht="15" hidden="false" customHeight="false" outlineLevel="0" collapsed="false">
      <c r="A11" s="0" t="n">
        <v>4</v>
      </c>
      <c r="B11" s="0" t="s">
        <v>48</v>
      </c>
      <c r="C11" s="0" t="n">
        <v>2015</v>
      </c>
      <c r="D11" s="0" t="s">
        <v>57</v>
      </c>
      <c r="E11" s="0" t="s">
        <v>59</v>
      </c>
      <c r="F11" s="0" t="n">
        <v>3</v>
      </c>
      <c r="G11" s="0" t="s">
        <v>57</v>
      </c>
      <c r="H11" s="0" t="n">
        <v>5.72</v>
      </c>
      <c r="I11" s="0" t="n">
        <v>5.72</v>
      </c>
      <c r="J11" s="0" t="n">
        <v>5.72</v>
      </c>
      <c r="K11" s="0" t="s">
        <v>589</v>
      </c>
      <c r="L11" s="0" t="s">
        <v>590</v>
      </c>
      <c r="M11" s="2" t="b">
        <f aca="false">TRUE()</f>
        <v>1</v>
      </c>
      <c r="N11" s="2" t="b">
        <f aca="false">TRUE()</f>
        <v>1</v>
      </c>
      <c r="O11" s="2" t="b">
        <f aca="false">TRUE()</f>
        <v>1</v>
      </c>
    </row>
    <row r="12" customFormat="false" ht="15" hidden="false" customHeight="false" outlineLevel="0" collapsed="false">
      <c r="A12" s="0" t="n">
        <v>5</v>
      </c>
      <c r="B12" s="0" t="s">
        <v>60</v>
      </c>
      <c r="C12" s="0" t="n">
        <v>2016</v>
      </c>
      <c r="D12" s="0" t="s">
        <v>65</v>
      </c>
      <c r="E12" s="0" t="s">
        <v>67</v>
      </c>
      <c r="F12" s="0" t="n">
        <v>3</v>
      </c>
      <c r="G12" s="0" t="s">
        <v>65</v>
      </c>
      <c r="K12" s="0" t="s">
        <v>593</v>
      </c>
      <c r="L12" s="0" t="s">
        <v>594</v>
      </c>
      <c r="M12" s="2" t="b">
        <f aca="false">FALSE()</f>
        <v>0</v>
      </c>
      <c r="N12" s="2" t="b">
        <f aca="false">TRUE()</f>
        <v>1</v>
      </c>
      <c r="O12" s="2" t="b">
        <f aca="false">FALSE()</f>
        <v>0</v>
      </c>
    </row>
    <row r="13" customFormat="false" ht="15" hidden="false" customHeight="false" outlineLevel="0" collapsed="false">
      <c r="A13" s="0" t="n">
        <v>6</v>
      </c>
      <c r="B13" s="0" t="s">
        <v>48</v>
      </c>
      <c r="C13" s="0" t="n">
        <v>2017</v>
      </c>
      <c r="D13" s="0" t="s">
        <v>72</v>
      </c>
      <c r="E13" s="0" t="s">
        <v>42</v>
      </c>
      <c r="F13" s="0" t="n">
        <v>0</v>
      </c>
      <c r="G13" s="0" t="s">
        <v>72</v>
      </c>
      <c r="H13" s="0" t="n">
        <v>2.3</v>
      </c>
      <c r="I13" s="0" t="n">
        <v>5.9</v>
      </c>
      <c r="J13" s="0" t="n">
        <v>4.1</v>
      </c>
      <c r="K13" s="0" t="s">
        <v>587</v>
      </c>
      <c r="L13" s="0" t="s">
        <v>588</v>
      </c>
      <c r="M13" s="2" t="b">
        <f aca="false">TRUE()</f>
        <v>1</v>
      </c>
      <c r="N13" s="2" t="b">
        <f aca="false">TRUE()</f>
        <v>1</v>
      </c>
      <c r="O13" s="2" t="b">
        <f aca="false">FALSE()</f>
        <v>0</v>
      </c>
    </row>
    <row r="14" customFormat="false" ht="15" hidden="false" customHeight="false" outlineLevel="0" collapsed="false">
      <c r="A14" s="0" t="n">
        <v>7</v>
      </c>
      <c r="B14" s="0" t="s">
        <v>74</v>
      </c>
      <c r="C14" s="0" t="n">
        <v>2020</v>
      </c>
      <c r="D14" s="0" t="s">
        <v>78</v>
      </c>
      <c r="E14" s="0" t="s">
        <v>42</v>
      </c>
      <c r="F14" s="0" t="n">
        <v>0</v>
      </c>
      <c r="G14" s="0" t="s">
        <v>78</v>
      </c>
      <c r="K14" s="0" t="s">
        <v>593</v>
      </c>
      <c r="L14" s="0" t="s">
        <v>594</v>
      </c>
      <c r="M14" s="2" t="b">
        <f aca="false">FALSE()</f>
        <v>0</v>
      </c>
      <c r="N14" s="2" t="b">
        <f aca="false">TRUE()</f>
        <v>1</v>
      </c>
      <c r="O14" s="2" t="b">
        <f aca="false">FALSE()</f>
        <v>0</v>
      </c>
    </row>
    <row r="15" customFormat="false" ht="15" hidden="false" customHeight="false" outlineLevel="0" collapsed="false">
      <c r="A15" s="0" t="n">
        <v>8</v>
      </c>
      <c r="B15" s="0" t="s">
        <v>80</v>
      </c>
      <c r="C15" s="0" t="n">
        <v>2021</v>
      </c>
      <c r="D15" s="0" t="s">
        <v>85</v>
      </c>
      <c r="E15" s="0" t="s">
        <v>59</v>
      </c>
      <c r="F15" s="0" t="n">
        <v>3</v>
      </c>
      <c r="G15" s="0" t="s">
        <v>85</v>
      </c>
      <c r="K15" s="0" t="s">
        <v>593</v>
      </c>
      <c r="L15" s="0" t="s">
        <v>594</v>
      </c>
      <c r="M15" s="2" t="b">
        <f aca="false">FALSE()</f>
        <v>0</v>
      </c>
      <c r="N15" s="2" t="b">
        <f aca="false">TRUE()</f>
        <v>1</v>
      </c>
      <c r="O15" s="2" t="b">
        <f aca="false">FALSE()</f>
        <v>0</v>
      </c>
    </row>
    <row r="16" customFormat="false" ht="15" hidden="false" customHeight="false" outlineLevel="0" collapsed="false">
      <c r="A16" s="0" t="n">
        <v>9</v>
      </c>
      <c r="B16" s="0" t="s">
        <v>87</v>
      </c>
      <c r="C16" s="0" t="n">
        <v>2023</v>
      </c>
      <c r="D16" s="0" t="s">
        <v>92</v>
      </c>
      <c r="E16" s="0" t="s">
        <v>94</v>
      </c>
      <c r="F16" s="0" t="n">
        <v>3</v>
      </c>
      <c r="G16" s="0" t="s">
        <v>92</v>
      </c>
      <c r="H16" s="0" t="n">
        <v>3</v>
      </c>
      <c r="I16" s="0" t="n">
        <v>3</v>
      </c>
      <c r="J16" s="0" t="n">
        <v>3</v>
      </c>
      <c r="K16" s="0" t="s">
        <v>591</v>
      </c>
      <c r="L16" s="0" t="s">
        <v>592</v>
      </c>
      <c r="M16" s="2" t="b">
        <f aca="false">TRUE()</f>
        <v>1</v>
      </c>
      <c r="N16" s="2" t="b">
        <f aca="false">FALSE()</f>
        <v>0</v>
      </c>
      <c r="O16" s="2" t="b">
        <f aca="false">TRUE()</f>
        <v>1</v>
      </c>
    </row>
    <row r="17" customFormat="false" ht="15" hidden="false" customHeight="false" outlineLevel="0" collapsed="false">
      <c r="A17" s="0" t="n">
        <v>9</v>
      </c>
      <c r="B17" s="0" t="s">
        <v>87</v>
      </c>
      <c r="C17" s="0" t="n">
        <v>2023</v>
      </c>
      <c r="D17" s="0" t="s">
        <v>95</v>
      </c>
      <c r="E17" s="0" t="s">
        <v>28</v>
      </c>
      <c r="F17" s="0" t="n">
        <v>4</v>
      </c>
      <c r="G17" s="0" t="s">
        <v>95</v>
      </c>
      <c r="H17" s="0" t="n">
        <v>6</v>
      </c>
      <c r="I17" s="0" t="n">
        <v>6</v>
      </c>
      <c r="J17" s="0" t="n">
        <v>6</v>
      </c>
      <c r="K17" s="0" t="s">
        <v>591</v>
      </c>
      <c r="L17" s="0" t="s">
        <v>592</v>
      </c>
      <c r="M17" s="2" t="b">
        <f aca="false">TRUE()</f>
        <v>1</v>
      </c>
      <c r="N17" s="2" t="b">
        <f aca="false">FALSE()</f>
        <v>0</v>
      </c>
      <c r="O17" s="2" t="b">
        <f aca="false">TRUE()</f>
        <v>1</v>
      </c>
    </row>
    <row r="18" customFormat="false" ht="15" hidden="false" customHeight="false" outlineLevel="0" collapsed="false">
      <c r="A18" s="0" t="n">
        <v>10</v>
      </c>
      <c r="B18" s="0" t="s">
        <v>97</v>
      </c>
      <c r="C18" s="0" t="n">
        <v>2025</v>
      </c>
      <c r="D18" s="0" t="s">
        <v>102</v>
      </c>
      <c r="E18" s="0" t="s">
        <v>21</v>
      </c>
      <c r="F18" s="0" t="n">
        <v>0</v>
      </c>
      <c r="G18" s="0" t="s">
        <v>102</v>
      </c>
      <c r="H18" s="0" t="n">
        <v>0.8</v>
      </c>
      <c r="I18" s="0" t="n">
        <v>0.8</v>
      </c>
      <c r="J18" s="0" t="n">
        <v>0.8</v>
      </c>
      <c r="K18" s="0" t="s">
        <v>595</v>
      </c>
      <c r="L18" s="0" t="s">
        <v>596</v>
      </c>
      <c r="M18" s="2" t="b">
        <f aca="false">TRUE()</f>
        <v>1</v>
      </c>
      <c r="N18" s="2" t="b">
        <f aca="false">TRUE()</f>
        <v>1</v>
      </c>
      <c r="O18" s="2" t="b">
        <f aca="false">FALSE()</f>
        <v>0</v>
      </c>
    </row>
    <row r="19" customFormat="false" ht="15" hidden="false" customHeight="false" outlineLevel="0" collapsed="false">
      <c r="A19" s="0" t="n">
        <v>10</v>
      </c>
      <c r="B19" s="0" t="s">
        <v>97</v>
      </c>
      <c r="C19" s="0" t="n">
        <v>2025</v>
      </c>
      <c r="D19" s="0" t="s">
        <v>103</v>
      </c>
      <c r="E19" s="0" t="s">
        <v>105</v>
      </c>
      <c r="F19" s="0" t="n">
        <v>1</v>
      </c>
      <c r="G19" s="0" t="s">
        <v>103</v>
      </c>
      <c r="H19" s="0" t="n">
        <v>3</v>
      </c>
      <c r="I19" s="0" t="n">
        <v>3</v>
      </c>
      <c r="J19" s="0" t="n">
        <v>3</v>
      </c>
      <c r="K19" s="0" t="s">
        <v>595</v>
      </c>
      <c r="L19" s="0" t="s">
        <v>596</v>
      </c>
      <c r="M19" s="2" t="b">
        <f aca="false">TRUE()</f>
        <v>1</v>
      </c>
      <c r="N19" s="2" t="b">
        <f aca="false">TRUE()</f>
        <v>1</v>
      </c>
      <c r="O19" s="2" t="b">
        <f aca="false">FALSE()</f>
        <v>0</v>
      </c>
    </row>
    <row r="20" customFormat="false" ht="15" hidden="false" customHeight="false" outlineLevel="0" collapsed="false">
      <c r="A20" s="0" t="n">
        <v>10</v>
      </c>
      <c r="B20" s="0" t="s">
        <v>97</v>
      </c>
      <c r="C20" s="0" t="n">
        <v>2025</v>
      </c>
      <c r="D20" s="0" t="s">
        <v>106</v>
      </c>
      <c r="E20" s="0" t="s">
        <v>108</v>
      </c>
      <c r="F20" s="0" t="n">
        <v>2</v>
      </c>
      <c r="G20" s="0" t="s">
        <v>106</v>
      </c>
      <c r="H20" s="0" t="n">
        <v>6</v>
      </c>
      <c r="I20" s="0" t="n">
        <v>6</v>
      </c>
      <c r="J20" s="0" t="n">
        <v>6</v>
      </c>
      <c r="K20" s="0" t="s">
        <v>595</v>
      </c>
      <c r="L20" s="0" t="s">
        <v>596</v>
      </c>
      <c r="M20" s="2" t="b">
        <f aca="false">TRUE()</f>
        <v>1</v>
      </c>
      <c r="N20" s="2" t="b">
        <f aca="false">TRUE()</f>
        <v>1</v>
      </c>
      <c r="O20" s="2" t="b">
        <f aca="false">FALSE()</f>
        <v>0</v>
      </c>
    </row>
    <row r="21" customFormat="false" ht="15" hidden="false" customHeight="false" outlineLevel="0" collapsed="false">
      <c r="A21" s="0" t="n">
        <v>11</v>
      </c>
      <c r="B21" s="0" t="s">
        <v>109</v>
      </c>
      <c r="C21" s="0" t="n">
        <v>2010</v>
      </c>
      <c r="D21" s="0" t="s">
        <v>114</v>
      </c>
      <c r="E21" s="0" t="s">
        <v>21</v>
      </c>
      <c r="F21" s="0" t="n">
        <v>0</v>
      </c>
      <c r="G21" s="0" t="s">
        <v>114</v>
      </c>
      <c r="H21" s="0" t="n">
        <v>2.3</v>
      </c>
      <c r="I21" s="0" t="n">
        <v>2.3</v>
      </c>
      <c r="J21" s="0" t="n">
        <v>2.3</v>
      </c>
      <c r="K21" s="0" t="s">
        <v>595</v>
      </c>
      <c r="L21" s="0" t="s">
        <v>596</v>
      </c>
      <c r="M21" s="2" t="b">
        <f aca="false">TRUE()</f>
        <v>1</v>
      </c>
      <c r="N21" s="2" t="b">
        <f aca="false">TRUE()</f>
        <v>1</v>
      </c>
      <c r="O21" s="2" t="b">
        <f aca="false">FALSE()</f>
        <v>0</v>
      </c>
    </row>
    <row r="22" customFormat="false" ht="15" hidden="false" customHeight="false" outlineLevel="0" collapsed="false">
      <c r="A22" s="0" t="n">
        <v>13</v>
      </c>
      <c r="B22" s="0" t="s">
        <v>124</v>
      </c>
      <c r="C22" s="0" t="n">
        <v>2016</v>
      </c>
      <c r="D22" s="0" t="s">
        <v>129</v>
      </c>
      <c r="E22" s="0" t="s">
        <v>42</v>
      </c>
      <c r="F22" s="0" t="n">
        <v>0</v>
      </c>
      <c r="G22" s="0" t="s">
        <v>129</v>
      </c>
      <c r="K22" s="0" t="s">
        <v>593</v>
      </c>
      <c r="L22" s="0" t="s">
        <v>594</v>
      </c>
      <c r="M22" s="2" t="b">
        <f aca="false">FALSE()</f>
        <v>0</v>
      </c>
      <c r="N22" s="2" t="b">
        <f aca="false">TRUE()</f>
        <v>1</v>
      </c>
      <c r="O22" s="2" t="b">
        <f aca="false">FALSE()</f>
        <v>0</v>
      </c>
    </row>
    <row r="23" customFormat="false" ht="15" hidden="false" customHeight="false" outlineLevel="0" collapsed="false">
      <c r="A23" s="0" t="n">
        <v>19</v>
      </c>
      <c r="B23" s="0" t="s">
        <v>172</v>
      </c>
      <c r="C23" s="0" t="n">
        <v>2026</v>
      </c>
      <c r="D23" s="0" t="s">
        <v>178</v>
      </c>
      <c r="E23" s="0" t="s">
        <v>21</v>
      </c>
      <c r="F23" s="0" t="n">
        <v>0</v>
      </c>
      <c r="G23" s="0" t="s">
        <v>178</v>
      </c>
      <c r="H23" s="0" t="n">
        <v>0.5</v>
      </c>
      <c r="I23" s="0" t="n">
        <v>0.5</v>
      </c>
      <c r="J23" s="0" t="n">
        <v>0.5</v>
      </c>
      <c r="K23" s="0" t="s">
        <v>595</v>
      </c>
      <c r="L23" s="0" t="s">
        <v>596</v>
      </c>
      <c r="M23" s="2" t="b">
        <f aca="false">TRUE()</f>
        <v>1</v>
      </c>
      <c r="N23" s="2" t="b">
        <f aca="false">TRUE()</f>
        <v>1</v>
      </c>
      <c r="O23" s="2" t="b">
        <f aca="false">FALSE()</f>
        <v>0</v>
      </c>
    </row>
    <row r="24" customFormat="false" ht="15" hidden="false" customHeight="false" outlineLevel="0" collapsed="false">
      <c r="A24" s="0" t="n">
        <v>19</v>
      </c>
      <c r="B24" s="0" t="s">
        <v>172</v>
      </c>
      <c r="C24" s="0" t="n">
        <v>2026</v>
      </c>
      <c r="D24" s="0" t="s">
        <v>180</v>
      </c>
      <c r="E24" s="0" t="s">
        <v>25</v>
      </c>
      <c r="F24" s="0" t="n">
        <v>3</v>
      </c>
      <c r="G24" s="0" t="s">
        <v>180</v>
      </c>
      <c r="H24" s="0" t="n">
        <v>20</v>
      </c>
      <c r="I24" s="0" t="n">
        <v>20</v>
      </c>
      <c r="J24" s="0" t="n">
        <v>20</v>
      </c>
      <c r="K24" s="0" t="s">
        <v>595</v>
      </c>
      <c r="L24" s="0" t="s">
        <v>596</v>
      </c>
      <c r="M24" s="2" t="b">
        <f aca="false">TRUE()</f>
        <v>1</v>
      </c>
      <c r="N24" s="2" t="b">
        <f aca="false">TRUE()</f>
        <v>1</v>
      </c>
      <c r="O24" s="2" t="b">
        <f aca="false">FALSE()</f>
        <v>0</v>
      </c>
    </row>
    <row r="25" customFormat="false" ht="15" hidden="false" customHeight="false" outlineLevel="0" collapsed="false">
      <c r="A25" s="0" t="n">
        <v>20</v>
      </c>
      <c r="B25" s="0" t="s">
        <v>182</v>
      </c>
      <c r="C25" s="0" t="n">
        <v>2023</v>
      </c>
      <c r="D25" s="0" t="s">
        <v>188</v>
      </c>
      <c r="E25" s="0" t="s">
        <v>59</v>
      </c>
      <c r="F25" s="0" t="n">
        <v>3</v>
      </c>
      <c r="G25" s="0" t="s">
        <v>188</v>
      </c>
      <c r="H25" s="0" t="n">
        <v>25</v>
      </c>
      <c r="I25" s="0" t="n">
        <v>25</v>
      </c>
      <c r="J25" s="0" t="n">
        <v>25</v>
      </c>
      <c r="K25" s="0" t="s">
        <v>591</v>
      </c>
      <c r="L25" s="0" t="s">
        <v>592</v>
      </c>
      <c r="M25" s="2" t="b">
        <f aca="false">TRUE()</f>
        <v>1</v>
      </c>
      <c r="N25" s="2" t="b">
        <f aca="false">FALSE()</f>
        <v>0</v>
      </c>
      <c r="O25" s="2" t="b">
        <f aca="false">TRUE()</f>
        <v>1</v>
      </c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3"/>
    <col collapsed="false" customWidth="true" hidden="false" outlineLevel="0" max="7" min="7" style="0" width="18"/>
    <col collapsed="false" customWidth="true" hidden="false" outlineLevel="0" max="8" min="8" style="0" width="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581</v>
      </c>
      <c r="E1" s="1" t="s">
        <v>11</v>
      </c>
      <c r="F1" s="1" t="s">
        <v>10</v>
      </c>
      <c r="G1" s="1" t="s">
        <v>582</v>
      </c>
      <c r="H1" s="1" t="s">
        <v>585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n">
        <v>2020</v>
      </c>
      <c r="D2" s="0" t="n">
        <v>2</v>
      </c>
      <c r="E2" s="0" t="n">
        <v>0</v>
      </c>
      <c r="F2" s="0" t="s">
        <v>21</v>
      </c>
      <c r="G2" s="0" t="s">
        <v>587</v>
      </c>
      <c r="H2" s="2" t="b">
        <f aca="false">TRUE()</f>
        <v>1</v>
      </c>
    </row>
    <row r="3" customFormat="false" ht="15" hidden="false" customHeight="false" outlineLevel="0" collapsed="false">
      <c r="A3" s="0" t="n">
        <v>1</v>
      </c>
      <c r="B3" s="0" t="s">
        <v>13</v>
      </c>
      <c r="C3" s="0" t="n">
        <v>2020</v>
      </c>
      <c r="D3" s="0" t="n">
        <v>6.5</v>
      </c>
      <c r="E3" s="0" t="n">
        <v>3</v>
      </c>
      <c r="F3" s="0" t="s">
        <v>25</v>
      </c>
      <c r="G3" s="0" t="s">
        <v>587</v>
      </c>
      <c r="H3" s="2" t="b">
        <f aca="false">TRUE()</f>
        <v>1</v>
      </c>
    </row>
    <row r="4" customFormat="false" ht="15" hidden="false" customHeight="false" outlineLevel="0" collapsed="false">
      <c r="A4" s="0" t="n">
        <v>1</v>
      </c>
      <c r="B4" s="0" t="s">
        <v>13</v>
      </c>
      <c r="C4" s="0" t="n">
        <v>2020</v>
      </c>
      <c r="D4" s="0" t="n">
        <v>15</v>
      </c>
      <c r="E4" s="0" t="n">
        <v>4</v>
      </c>
      <c r="F4" s="0" t="s">
        <v>28</v>
      </c>
      <c r="G4" s="0" t="s">
        <v>587</v>
      </c>
      <c r="H4" s="2" t="b">
        <f aca="false">TRUE()</f>
        <v>1</v>
      </c>
    </row>
    <row r="5" customFormat="false" ht="15" hidden="false" customHeight="false" outlineLevel="0" collapsed="false">
      <c r="A5" s="0" t="n">
        <v>2</v>
      </c>
      <c r="B5" s="0" t="s">
        <v>29</v>
      </c>
      <c r="C5" s="0" t="n">
        <v>2020</v>
      </c>
      <c r="D5" s="0" t="n">
        <v>2.9</v>
      </c>
      <c r="E5" s="0" t="n">
        <v>0</v>
      </c>
      <c r="F5" s="0" t="s">
        <v>21</v>
      </c>
      <c r="G5" s="0" t="s">
        <v>589</v>
      </c>
      <c r="H5" s="2" t="b">
        <f aca="false">TRUE()</f>
        <v>1</v>
      </c>
    </row>
    <row r="6" customFormat="false" ht="15" hidden="false" customHeight="false" outlineLevel="0" collapsed="false">
      <c r="A6" s="0" t="n">
        <v>3</v>
      </c>
      <c r="B6" s="0" t="s">
        <v>36</v>
      </c>
      <c r="C6" s="0" t="n">
        <v>2020</v>
      </c>
      <c r="D6" s="0" t="n">
        <v>0.3</v>
      </c>
      <c r="E6" s="0" t="n">
        <v>0</v>
      </c>
      <c r="F6" s="0" t="s">
        <v>42</v>
      </c>
      <c r="G6" s="0" t="s">
        <v>591</v>
      </c>
      <c r="H6" s="2" t="b">
        <f aca="false">FALSE()</f>
        <v>0</v>
      </c>
    </row>
    <row r="7" customFormat="false" ht="15" hidden="false" customHeight="false" outlineLevel="0" collapsed="false">
      <c r="A7" s="0" t="n">
        <v>3</v>
      </c>
      <c r="B7" s="0" t="s">
        <v>36</v>
      </c>
      <c r="C7" s="0" t="n">
        <v>2020</v>
      </c>
      <c r="D7" s="0" t="n">
        <v>1.5</v>
      </c>
      <c r="E7" s="0" t="n">
        <v>0</v>
      </c>
      <c r="F7" s="0" t="s">
        <v>21</v>
      </c>
      <c r="G7" s="0" t="s">
        <v>587</v>
      </c>
      <c r="H7" s="2" t="b">
        <f aca="false">TRUE()</f>
        <v>1</v>
      </c>
    </row>
    <row r="8" customFormat="false" ht="15" hidden="false" customHeight="false" outlineLevel="0" collapsed="false">
      <c r="A8" s="0" t="n">
        <v>3</v>
      </c>
      <c r="B8" s="0" t="s">
        <v>36</v>
      </c>
      <c r="C8" s="0" t="n">
        <v>2020</v>
      </c>
      <c r="D8" s="0" t="n">
        <v>4</v>
      </c>
      <c r="E8" s="0" t="n">
        <v>3</v>
      </c>
      <c r="F8" s="0" t="s">
        <v>25</v>
      </c>
      <c r="G8" s="0" t="s">
        <v>591</v>
      </c>
      <c r="H8" s="2" t="b">
        <f aca="false">FALSE()</f>
        <v>0</v>
      </c>
    </row>
    <row r="9" customFormat="false" ht="15" hidden="false" customHeight="false" outlineLevel="0" collapsed="false">
      <c r="A9" s="0" t="n">
        <v>4</v>
      </c>
      <c r="B9" s="0" t="s">
        <v>48</v>
      </c>
      <c r="C9" s="0" t="n">
        <v>2015</v>
      </c>
      <c r="D9" s="0" t="n">
        <v>0.13</v>
      </c>
      <c r="E9" s="0" t="n">
        <v>0</v>
      </c>
      <c r="F9" s="0" t="s">
        <v>42</v>
      </c>
      <c r="G9" s="0" t="s">
        <v>589</v>
      </c>
      <c r="H9" s="2" t="b">
        <f aca="false">TRUE()</f>
        <v>1</v>
      </c>
    </row>
    <row r="10" customFormat="false" ht="15" hidden="false" customHeight="false" outlineLevel="0" collapsed="false">
      <c r="A10" s="0" t="n">
        <v>4</v>
      </c>
      <c r="B10" s="0" t="s">
        <v>48</v>
      </c>
      <c r="C10" s="0" t="n">
        <v>2015</v>
      </c>
      <c r="D10" s="0" t="n">
        <v>1.87</v>
      </c>
      <c r="E10" s="0" t="n">
        <v>0</v>
      </c>
      <c r="F10" s="0" t="s">
        <v>42</v>
      </c>
      <c r="G10" s="0" t="s">
        <v>589</v>
      </c>
      <c r="H10" s="2" t="b">
        <f aca="false">TRUE()</f>
        <v>1</v>
      </c>
    </row>
    <row r="11" customFormat="false" ht="15" hidden="false" customHeight="false" outlineLevel="0" collapsed="false">
      <c r="A11" s="0" t="n">
        <v>4</v>
      </c>
      <c r="B11" s="0" t="s">
        <v>48</v>
      </c>
      <c r="C11" s="0" t="n">
        <v>2015</v>
      </c>
      <c r="D11" s="0" t="n">
        <v>5.72</v>
      </c>
      <c r="E11" s="0" t="n">
        <v>3</v>
      </c>
      <c r="F11" s="0" t="s">
        <v>59</v>
      </c>
      <c r="G11" s="0" t="s">
        <v>589</v>
      </c>
      <c r="H11" s="2" t="b">
        <f aca="false">TRUE()</f>
        <v>1</v>
      </c>
    </row>
    <row r="12" customFormat="false" ht="15" hidden="false" customHeight="false" outlineLevel="0" collapsed="false">
      <c r="A12" s="0" t="n">
        <v>6</v>
      </c>
      <c r="B12" s="0" t="s">
        <v>48</v>
      </c>
      <c r="C12" s="0" t="n">
        <v>2017</v>
      </c>
      <c r="D12" s="0" t="n">
        <v>4.1</v>
      </c>
      <c r="E12" s="0" t="n">
        <v>0</v>
      </c>
      <c r="F12" s="0" t="s">
        <v>42</v>
      </c>
      <c r="G12" s="0" t="s">
        <v>587</v>
      </c>
      <c r="H12" s="2" t="b">
        <f aca="false">TRUE()</f>
        <v>1</v>
      </c>
    </row>
    <row r="13" customFormat="false" ht="15" hidden="false" customHeight="false" outlineLevel="0" collapsed="false">
      <c r="A13" s="0" t="n">
        <v>9</v>
      </c>
      <c r="B13" s="0" t="s">
        <v>87</v>
      </c>
      <c r="C13" s="0" t="n">
        <v>2023</v>
      </c>
      <c r="D13" s="0" t="n">
        <v>3</v>
      </c>
      <c r="E13" s="0" t="n">
        <v>3</v>
      </c>
      <c r="F13" s="0" t="s">
        <v>94</v>
      </c>
      <c r="G13" s="0" t="s">
        <v>591</v>
      </c>
      <c r="H13" s="2" t="b">
        <f aca="false">FALSE()</f>
        <v>0</v>
      </c>
    </row>
    <row r="14" customFormat="false" ht="15" hidden="false" customHeight="false" outlineLevel="0" collapsed="false">
      <c r="A14" s="0" t="n">
        <v>9</v>
      </c>
      <c r="B14" s="0" t="s">
        <v>87</v>
      </c>
      <c r="C14" s="0" t="n">
        <v>2023</v>
      </c>
      <c r="D14" s="0" t="n">
        <v>6</v>
      </c>
      <c r="E14" s="0" t="n">
        <v>4</v>
      </c>
      <c r="F14" s="0" t="s">
        <v>28</v>
      </c>
      <c r="G14" s="0" t="s">
        <v>591</v>
      </c>
      <c r="H14" s="2" t="b">
        <f aca="false">FALSE()</f>
        <v>0</v>
      </c>
    </row>
    <row r="15" customFormat="false" ht="15" hidden="false" customHeight="false" outlineLevel="0" collapsed="false">
      <c r="A15" s="0" t="n">
        <v>10</v>
      </c>
      <c r="B15" s="0" t="s">
        <v>97</v>
      </c>
      <c r="C15" s="0" t="n">
        <v>2025</v>
      </c>
      <c r="D15" s="0" t="n">
        <v>0.8</v>
      </c>
      <c r="E15" s="0" t="n">
        <v>0</v>
      </c>
      <c r="F15" s="0" t="s">
        <v>21</v>
      </c>
      <c r="G15" s="0" t="s">
        <v>595</v>
      </c>
      <c r="H15" s="2" t="b">
        <f aca="false">TRUE()</f>
        <v>1</v>
      </c>
    </row>
    <row r="16" customFormat="false" ht="15" hidden="false" customHeight="false" outlineLevel="0" collapsed="false">
      <c r="A16" s="0" t="n">
        <v>10</v>
      </c>
      <c r="B16" s="0" t="s">
        <v>97</v>
      </c>
      <c r="C16" s="0" t="n">
        <v>2025</v>
      </c>
      <c r="D16" s="0" t="n">
        <v>3</v>
      </c>
      <c r="E16" s="0" t="n">
        <v>1</v>
      </c>
      <c r="F16" s="0" t="s">
        <v>105</v>
      </c>
      <c r="G16" s="0" t="s">
        <v>595</v>
      </c>
      <c r="H16" s="2" t="b">
        <f aca="false">TRUE()</f>
        <v>1</v>
      </c>
    </row>
    <row r="17" customFormat="false" ht="15" hidden="false" customHeight="false" outlineLevel="0" collapsed="false">
      <c r="A17" s="0" t="n">
        <v>10</v>
      </c>
      <c r="B17" s="0" t="s">
        <v>97</v>
      </c>
      <c r="C17" s="0" t="n">
        <v>2025</v>
      </c>
      <c r="D17" s="0" t="n">
        <v>6</v>
      </c>
      <c r="E17" s="0" t="n">
        <v>2</v>
      </c>
      <c r="F17" s="0" t="s">
        <v>108</v>
      </c>
      <c r="G17" s="0" t="s">
        <v>595</v>
      </c>
      <c r="H17" s="2" t="b">
        <f aca="false">TRUE()</f>
        <v>1</v>
      </c>
    </row>
    <row r="18" customFormat="false" ht="15" hidden="false" customHeight="false" outlineLevel="0" collapsed="false">
      <c r="A18" s="0" t="n">
        <v>11</v>
      </c>
      <c r="B18" s="0" t="s">
        <v>109</v>
      </c>
      <c r="C18" s="0" t="n">
        <v>2010</v>
      </c>
      <c r="D18" s="0" t="n">
        <v>2.3</v>
      </c>
      <c r="E18" s="0" t="n">
        <v>0</v>
      </c>
      <c r="F18" s="0" t="s">
        <v>21</v>
      </c>
      <c r="G18" s="0" t="s">
        <v>595</v>
      </c>
      <c r="H18" s="2" t="b">
        <f aca="false">TRUE()</f>
        <v>1</v>
      </c>
    </row>
    <row r="19" customFormat="false" ht="15" hidden="false" customHeight="false" outlineLevel="0" collapsed="false">
      <c r="A19" s="0" t="n">
        <v>19</v>
      </c>
      <c r="B19" s="0" t="s">
        <v>172</v>
      </c>
      <c r="C19" s="0" t="n">
        <v>2026</v>
      </c>
      <c r="D19" s="0" t="n">
        <v>0.5</v>
      </c>
      <c r="E19" s="0" t="n">
        <v>0</v>
      </c>
      <c r="F19" s="0" t="s">
        <v>21</v>
      </c>
      <c r="G19" s="0" t="s">
        <v>595</v>
      </c>
      <c r="H19" s="2" t="b">
        <f aca="false">TRUE()</f>
        <v>1</v>
      </c>
    </row>
    <row r="20" customFormat="false" ht="15" hidden="false" customHeight="false" outlineLevel="0" collapsed="false">
      <c r="A20" s="0" t="n">
        <v>19</v>
      </c>
      <c r="B20" s="0" t="s">
        <v>172</v>
      </c>
      <c r="C20" s="0" t="n">
        <v>2026</v>
      </c>
      <c r="D20" s="0" t="n">
        <v>20</v>
      </c>
      <c r="E20" s="0" t="n">
        <v>3</v>
      </c>
      <c r="F20" s="0" t="s">
        <v>25</v>
      </c>
      <c r="G20" s="0" t="s">
        <v>595</v>
      </c>
      <c r="H20" s="2" t="b">
        <f aca="false">TRUE()</f>
        <v>1</v>
      </c>
    </row>
    <row r="21" customFormat="false" ht="15" hidden="false" customHeight="false" outlineLevel="0" collapsed="false">
      <c r="A21" s="0" t="n">
        <v>20</v>
      </c>
      <c r="B21" s="0" t="s">
        <v>182</v>
      </c>
      <c r="C21" s="0" t="n">
        <v>2023</v>
      </c>
      <c r="D21" s="0" t="n">
        <v>25</v>
      </c>
      <c r="E21" s="0" t="n">
        <v>3</v>
      </c>
      <c r="F21" s="0" t="s">
        <v>59</v>
      </c>
      <c r="G21" s="0" t="s">
        <v>591</v>
      </c>
      <c r="H21" s="2" t="b">
        <f aca="false">FALSE()</f>
        <v>0</v>
      </c>
    </row>
  </sheetData>
  <autoFilter ref="A1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1"/>
    <col collapsed="false" customWidth="true" hidden="false" outlineLevel="0" max="3" min="3" style="0" width="10"/>
    <col collapsed="false" customWidth="true" hidden="false" outlineLevel="0" max="4" min="4" style="0" width="21"/>
    <col collapsed="false" customWidth="true" hidden="false" outlineLevel="0" max="5" min="5" style="0" width="20"/>
    <col collapsed="false" customWidth="true" hidden="false" outlineLevel="0" max="6" min="6" style="0" width="23"/>
    <col collapsed="false" customWidth="true" hidden="false" outlineLevel="0" max="7" min="7" style="0" width="14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8</v>
      </c>
      <c r="E1" s="1" t="s">
        <v>582</v>
      </c>
      <c r="F1" s="1" t="s">
        <v>10</v>
      </c>
      <c r="G1" s="1" t="s">
        <v>11</v>
      </c>
      <c r="H1" s="1" t="s">
        <v>583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n">
        <v>2020</v>
      </c>
      <c r="D2" s="0" t="s">
        <v>19</v>
      </c>
      <c r="E2" s="0" t="s">
        <v>587</v>
      </c>
      <c r="F2" s="0" t="s">
        <v>21</v>
      </c>
      <c r="G2" s="0" t="n">
        <v>0</v>
      </c>
      <c r="H2" s="0" t="s">
        <v>588</v>
      </c>
    </row>
    <row r="3" customFormat="false" ht="15" hidden="false" customHeight="false" outlineLevel="0" collapsed="false">
      <c r="A3" s="0" t="n">
        <v>1</v>
      </c>
      <c r="B3" s="0" t="s">
        <v>13</v>
      </c>
      <c r="C3" s="0" t="n">
        <v>2020</v>
      </c>
      <c r="D3" s="0" t="s">
        <v>23</v>
      </c>
      <c r="E3" s="0" t="s">
        <v>587</v>
      </c>
      <c r="F3" s="0" t="s">
        <v>25</v>
      </c>
      <c r="G3" s="0" t="n">
        <v>3</v>
      </c>
      <c r="H3" s="0" t="s">
        <v>588</v>
      </c>
    </row>
    <row r="4" customFormat="false" ht="15" hidden="false" customHeight="false" outlineLevel="0" collapsed="false">
      <c r="A4" s="0" t="n">
        <v>1</v>
      </c>
      <c r="B4" s="0" t="s">
        <v>13</v>
      </c>
      <c r="C4" s="0" t="n">
        <v>2020</v>
      </c>
      <c r="D4" s="0" t="s">
        <v>26</v>
      </c>
      <c r="E4" s="0" t="s">
        <v>587</v>
      </c>
      <c r="F4" s="0" t="s">
        <v>28</v>
      </c>
      <c r="G4" s="0" t="n">
        <v>4</v>
      </c>
      <c r="H4" s="0" t="s">
        <v>588</v>
      </c>
    </row>
    <row r="5" customFormat="false" ht="15" hidden="false" customHeight="false" outlineLevel="0" collapsed="false">
      <c r="A5" s="0" t="n">
        <v>3</v>
      </c>
      <c r="B5" s="0" t="s">
        <v>36</v>
      </c>
      <c r="C5" s="0" t="n">
        <v>2020</v>
      </c>
      <c r="D5" s="0" t="s">
        <v>43</v>
      </c>
      <c r="E5" s="0" t="s">
        <v>587</v>
      </c>
      <c r="F5" s="0" t="s">
        <v>21</v>
      </c>
      <c r="G5" s="0" t="n">
        <v>0</v>
      </c>
      <c r="H5" s="0" t="s">
        <v>588</v>
      </c>
    </row>
    <row r="6" customFormat="false" ht="15" hidden="false" customHeight="false" outlineLevel="0" collapsed="false">
      <c r="A6" s="0" t="n">
        <v>5</v>
      </c>
      <c r="B6" s="0" t="s">
        <v>60</v>
      </c>
      <c r="C6" s="0" t="n">
        <v>2016</v>
      </c>
      <c r="D6" s="0" t="s">
        <v>65</v>
      </c>
      <c r="E6" s="0" t="s">
        <v>593</v>
      </c>
      <c r="F6" s="0" t="s">
        <v>67</v>
      </c>
      <c r="G6" s="0" t="n">
        <v>3</v>
      </c>
      <c r="H6" s="0" t="s">
        <v>594</v>
      </c>
    </row>
    <row r="7" customFormat="false" ht="15" hidden="false" customHeight="false" outlineLevel="0" collapsed="false">
      <c r="A7" s="0" t="n">
        <v>6</v>
      </c>
      <c r="B7" s="0" t="s">
        <v>48</v>
      </c>
      <c r="C7" s="0" t="n">
        <v>2017</v>
      </c>
      <c r="D7" s="0" t="s">
        <v>72</v>
      </c>
      <c r="E7" s="0" t="s">
        <v>587</v>
      </c>
      <c r="F7" s="0" t="s">
        <v>42</v>
      </c>
      <c r="G7" s="0" t="n">
        <v>0</v>
      </c>
      <c r="H7" s="0" t="s">
        <v>588</v>
      </c>
    </row>
    <row r="8" customFormat="false" ht="15" hidden="false" customHeight="false" outlineLevel="0" collapsed="false">
      <c r="A8" s="0" t="n">
        <v>7</v>
      </c>
      <c r="B8" s="0" t="s">
        <v>74</v>
      </c>
      <c r="C8" s="0" t="n">
        <v>2020</v>
      </c>
      <c r="D8" s="0" t="s">
        <v>78</v>
      </c>
      <c r="E8" s="0" t="s">
        <v>593</v>
      </c>
      <c r="F8" s="0" t="s">
        <v>42</v>
      </c>
      <c r="G8" s="0" t="n">
        <v>0</v>
      </c>
      <c r="H8" s="0" t="s">
        <v>594</v>
      </c>
    </row>
    <row r="9" customFormat="false" ht="15" hidden="false" customHeight="false" outlineLevel="0" collapsed="false">
      <c r="A9" s="0" t="n">
        <v>8</v>
      </c>
      <c r="B9" s="0" t="s">
        <v>80</v>
      </c>
      <c r="C9" s="0" t="n">
        <v>2021</v>
      </c>
      <c r="D9" s="0" t="s">
        <v>85</v>
      </c>
      <c r="E9" s="0" t="s">
        <v>593</v>
      </c>
      <c r="F9" s="0" t="s">
        <v>59</v>
      </c>
      <c r="G9" s="0" t="n">
        <v>3</v>
      </c>
      <c r="H9" s="0" t="s">
        <v>594</v>
      </c>
    </row>
    <row r="10" customFormat="false" ht="15" hidden="false" customHeight="false" outlineLevel="0" collapsed="false">
      <c r="A10" s="0" t="n">
        <v>10</v>
      </c>
      <c r="B10" s="0" t="s">
        <v>97</v>
      </c>
      <c r="C10" s="0" t="n">
        <v>2025</v>
      </c>
      <c r="D10" s="0" t="s">
        <v>102</v>
      </c>
      <c r="E10" s="0" t="s">
        <v>595</v>
      </c>
      <c r="F10" s="0" t="s">
        <v>21</v>
      </c>
      <c r="G10" s="0" t="n">
        <v>0</v>
      </c>
      <c r="H10" s="0" t="s">
        <v>596</v>
      </c>
    </row>
    <row r="11" customFormat="false" ht="15" hidden="false" customHeight="false" outlineLevel="0" collapsed="false">
      <c r="A11" s="0" t="n">
        <v>10</v>
      </c>
      <c r="B11" s="0" t="s">
        <v>97</v>
      </c>
      <c r="C11" s="0" t="n">
        <v>2025</v>
      </c>
      <c r="D11" s="0" t="s">
        <v>103</v>
      </c>
      <c r="E11" s="0" t="s">
        <v>595</v>
      </c>
      <c r="F11" s="0" t="s">
        <v>105</v>
      </c>
      <c r="G11" s="0" t="n">
        <v>1</v>
      </c>
      <c r="H11" s="0" t="s">
        <v>596</v>
      </c>
    </row>
    <row r="12" customFormat="false" ht="15" hidden="false" customHeight="false" outlineLevel="0" collapsed="false">
      <c r="A12" s="0" t="n">
        <v>10</v>
      </c>
      <c r="B12" s="0" t="s">
        <v>97</v>
      </c>
      <c r="C12" s="0" t="n">
        <v>2025</v>
      </c>
      <c r="D12" s="0" t="s">
        <v>106</v>
      </c>
      <c r="E12" s="0" t="s">
        <v>595</v>
      </c>
      <c r="F12" s="0" t="s">
        <v>108</v>
      </c>
      <c r="G12" s="0" t="n">
        <v>2</v>
      </c>
      <c r="H12" s="0" t="s">
        <v>596</v>
      </c>
    </row>
    <row r="13" customFormat="false" ht="15" hidden="false" customHeight="false" outlineLevel="0" collapsed="false">
      <c r="A13" s="0" t="n">
        <v>11</v>
      </c>
      <c r="B13" s="0" t="s">
        <v>109</v>
      </c>
      <c r="C13" s="0" t="n">
        <v>2010</v>
      </c>
      <c r="D13" s="0" t="s">
        <v>114</v>
      </c>
      <c r="E13" s="0" t="s">
        <v>595</v>
      </c>
      <c r="F13" s="0" t="s">
        <v>21</v>
      </c>
      <c r="G13" s="0" t="n">
        <v>0</v>
      </c>
      <c r="H13" s="0" t="s">
        <v>596</v>
      </c>
    </row>
    <row r="14" customFormat="false" ht="15" hidden="false" customHeight="false" outlineLevel="0" collapsed="false">
      <c r="A14" s="0" t="n">
        <v>13</v>
      </c>
      <c r="B14" s="0" t="s">
        <v>124</v>
      </c>
      <c r="C14" s="0" t="n">
        <v>2016</v>
      </c>
      <c r="D14" s="0" t="s">
        <v>129</v>
      </c>
      <c r="E14" s="0" t="s">
        <v>593</v>
      </c>
      <c r="F14" s="0" t="s">
        <v>42</v>
      </c>
      <c r="G14" s="0" t="n">
        <v>0</v>
      </c>
      <c r="H14" s="0" t="s">
        <v>594</v>
      </c>
    </row>
    <row r="15" customFormat="false" ht="15" hidden="false" customHeight="false" outlineLevel="0" collapsed="false">
      <c r="A15" s="0" t="n">
        <v>19</v>
      </c>
      <c r="B15" s="0" t="s">
        <v>172</v>
      </c>
      <c r="C15" s="0" t="n">
        <v>2026</v>
      </c>
      <c r="D15" s="0" t="s">
        <v>178</v>
      </c>
      <c r="E15" s="0" t="s">
        <v>595</v>
      </c>
      <c r="F15" s="0" t="s">
        <v>21</v>
      </c>
      <c r="G15" s="0" t="n">
        <v>0</v>
      </c>
      <c r="H15" s="0" t="s">
        <v>596</v>
      </c>
    </row>
    <row r="16" customFormat="false" ht="15" hidden="false" customHeight="false" outlineLevel="0" collapsed="false">
      <c r="A16" s="0" t="n">
        <v>19</v>
      </c>
      <c r="B16" s="0" t="s">
        <v>172</v>
      </c>
      <c r="C16" s="0" t="n">
        <v>2026</v>
      </c>
      <c r="D16" s="0" t="s">
        <v>180</v>
      </c>
      <c r="E16" s="0" t="s">
        <v>595</v>
      </c>
      <c r="F16" s="0" t="s">
        <v>25</v>
      </c>
      <c r="G16" s="0" t="n">
        <v>3</v>
      </c>
      <c r="H16" s="0" t="s">
        <v>596</v>
      </c>
    </row>
  </sheetData>
  <autoFilter ref="A1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3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11</v>
      </c>
      <c r="B1" s="1" t="s">
        <v>10</v>
      </c>
      <c r="C1" s="1" t="s">
        <v>597</v>
      </c>
    </row>
    <row r="2" customFormat="false" ht="15" hidden="false" customHeight="false" outlineLevel="0" collapsed="false">
      <c r="A2" s="0" t="n">
        <v>0</v>
      </c>
      <c r="B2" s="0" t="s">
        <v>21</v>
      </c>
      <c r="C2" s="0" t="s">
        <v>598</v>
      </c>
    </row>
    <row r="3" customFormat="false" ht="15" hidden="false" customHeight="false" outlineLevel="0" collapsed="false">
      <c r="A3" s="0" t="n">
        <v>1</v>
      </c>
      <c r="B3" s="0" t="s">
        <v>105</v>
      </c>
      <c r="C3" s="0" t="s">
        <v>599</v>
      </c>
    </row>
    <row r="4" customFormat="false" ht="15" hidden="false" customHeight="false" outlineLevel="0" collapsed="false">
      <c r="A4" s="0" t="n">
        <v>2</v>
      </c>
      <c r="B4" s="0" t="s">
        <v>108</v>
      </c>
      <c r="C4" s="0" t="s">
        <v>600</v>
      </c>
    </row>
    <row r="5" customFormat="false" ht="15" hidden="false" customHeight="false" outlineLevel="0" collapsed="false">
      <c r="A5" s="0" t="n">
        <v>3</v>
      </c>
      <c r="B5" s="0" t="s">
        <v>25</v>
      </c>
      <c r="C5" s="0" t="s">
        <v>601</v>
      </c>
    </row>
    <row r="6" customFormat="false" ht="15" hidden="false" customHeight="false" outlineLevel="0" collapsed="false">
      <c r="A6" s="0" t="n">
        <v>4</v>
      </c>
      <c r="B6" s="0" t="s">
        <v>28</v>
      </c>
      <c r="C6" s="0" t="s">
        <v>602</v>
      </c>
    </row>
  </sheetData>
  <autoFilter ref="A1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5"/>
  </cols>
  <sheetData>
    <row r="1" customFormat="false" ht="15" hidden="false" customHeight="false" outlineLevel="0" collapsed="false">
      <c r="A1" s="1" t="s">
        <v>603</v>
      </c>
      <c r="B1" s="1" t="s">
        <v>604</v>
      </c>
    </row>
    <row r="2" customFormat="false" ht="15" hidden="false" customHeight="false" outlineLevel="0" collapsed="false">
      <c r="A2" s="0" t="s">
        <v>8</v>
      </c>
      <c r="B2" s="0" t="s">
        <v>605</v>
      </c>
    </row>
    <row r="3" customFormat="false" ht="15" hidden="false" customHeight="false" outlineLevel="0" collapsed="false">
      <c r="A3" s="0" t="s">
        <v>581</v>
      </c>
      <c r="B3" s="0" t="s">
        <v>606</v>
      </c>
    </row>
    <row r="4" customFormat="false" ht="15" hidden="false" customHeight="false" outlineLevel="0" collapsed="false">
      <c r="A4" s="0" t="s">
        <v>579</v>
      </c>
      <c r="B4" s="0" t="s">
        <v>607</v>
      </c>
    </row>
    <row r="5" customFormat="false" ht="15" hidden="false" customHeight="false" outlineLevel="0" collapsed="false">
      <c r="A5" s="0" t="s">
        <v>580</v>
      </c>
      <c r="B5" s="0" t="s">
        <v>608</v>
      </c>
    </row>
    <row r="6" customFormat="false" ht="15" hidden="false" customHeight="false" outlineLevel="0" collapsed="false">
      <c r="A6" s="0" t="s">
        <v>582</v>
      </c>
      <c r="B6" s="0" t="s">
        <v>609</v>
      </c>
    </row>
    <row r="7" customFormat="false" ht="15" hidden="false" customHeight="false" outlineLevel="0" collapsed="false">
      <c r="A7" s="0" t="s">
        <v>10</v>
      </c>
      <c r="B7" s="0" t="s">
        <v>610</v>
      </c>
    </row>
    <row r="8" customFormat="false" ht="15" hidden="false" customHeight="false" outlineLevel="0" collapsed="false">
      <c r="A8" s="0" t="s">
        <v>11</v>
      </c>
      <c r="B8" s="0" t="s">
        <v>611</v>
      </c>
    </row>
    <row r="9" customFormat="false" ht="15" hidden="false" customHeight="false" outlineLevel="0" collapsed="false">
      <c r="A9" s="0" t="s">
        <v>584</v>
      </c>
      <c r="B9" s="0" t="s">
        <v>612</v>
      </c>
    </row>
    <row r="10" customFormat="false" ht="15" hidden="false" customHeight="false" outlineLevel="0" collapsed="false">
      <c r="A10" s="0" t="s">
        <v>585</v>
      </c>
      <c r="B10" s="0" t="s">
        <v>613</v>
      </c>
    </row>
    <row r="11" customFormat="false" ht="15" hidden="false" customHeight="false" outlineLevel="0" collapsed="false">
      <c r="A11" s="0" t="s">
        <v>586</v>
      </c>
      <c r="B11" s="0" t="s">
        <v>614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615</v>
      </c>
      <c r="B1" s="1" t="s">
        <v>616</v>
      </c>
    </row>
    <row r="2" customFormat="false" ht="15" hidden="false" customHeight="false" outlineLevel="0" collapsed="false">
      <c r="A2" s="0" t="s">
        <v>617</v>
      </c>
      <c r="B2" s="0" t="n">
        <v>24</v>
      </c>
    </row>
    <row r="3" customFormat="false" ht="15" hidden="false" customHeight="false" outlineLevel="0" collapsed="false">
      <c r="A3" s="0" t="s">
        <v>618</v>
      </c>
      <c r="B3" s="0" t="n">
        <v>20</v>
      </c>
    </row>
    <row r="4" customFormat="false" ht="15" hidden="false" customHeight="false" outlineLevel="0" collapsed="false">
      <c r="A4" s="0" t="s">
        <v>619</v>
      </c>
      <c r="B4" s="0" t="n">
        <v>19</v>
      </c>
    </row>
    <row r="5" customFormat="false" ht="15" hidden="false" customHeight="false" outlineLevel="0" collapsed="false">
      <c r="A5" s="0" t="s">
        <v>620</v>
      </c>
      <c r="B5" s="0" t="n">
        <v>9</v>
      </c>
    </row>
    <row r="6" customFormat="false" ht="15" hidden="false" customHeight="false" outlineLevel="0" collapsed="false">
      <c r="A6" s="0" t="s">
        <v>621</v>
      </c>
      <c r="B6" s="0" t="n">
        <v>4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</cols>
  <sheetData>
    <row r="1" customFormat="false" ht="15" hidden="false" customHeight="false" outlineLevel="0" collapsed="false">
      <c r="A1" s="1" t="s">
        <v>622</v>
      </c>
    </row>
    <row r="2" customFormat="false" ht="15" hidden="false" customHeight="false" outlineLevel="0" collapsed="false">
      <c r="A2" s="0" t="s">
        <v>623</v>
      </c>
    </row>
    <row r="3" customFormat="false" ht="15" hidden="false" customHeight="false" outlineLevel="0" collapsed="false">
      <c r="A3" s="0" t="s">
        <v>624</v>
      </c>
    </row>
    <row r="4" customFormat="false" ht="15" hidden="false" customHeight="false" outlineLevel="0" collapsed="false">
      <c r="A4" s="0" t="s">
        <v>625</v>
      </c>
    </row>
    <row r="5" customFormat="false" ht="15" hidden="false" customHeight="false" outlineLevel="0" collapsed="false">
      <c r="A5" s="0" t="s">
        <v>626</v>
      </c>
    </row>
    <row r="6" customFormat="false" ht="15" hidden="false" customHeight="false" outlineLevel="0" collapsed="false">
      <c r="A6" s="0" t="s">
        <v>627</v>
      </c>
    </row>
    <row r="7" customFormat="false" ht="15" hidden="false" customHeight="false" outlineLevel="0" collapsed="false">
      <c r="A7" s="0" t="s">
        <v>628</v>
      </c>
    </row>
  </sheetData>
  <autoFilter ref="A1:A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2026-09-21T11:34:21Z</dcterms:created>
  <dc:creator>openpyxl</dc:creator>
  <dc:description/>
  <dc:language>en-US</dc:language>
  <cp:lastModifiedBy/>
  <dcterms:modified xsi:type="dcterms:W3CDTF">2026-09-24T18:27:23Z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